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macen\Desktop\LEONARDO\"/>
    </mc:Choice>
  </mc:AlternateContent>
  <bookViews>
    <workbookView xWindow="0" yWindow="0" windowWidth="24000" windowHeight="9600" activeTab="9"/>
  </bookViews>
  <sheets>
    <sheet name="Hoja3" sheetId="1" r:id="rId1"/>
    <sheet name="Hoja2" sheetId="2" r:id="rId2"/>
    <sheet name="Hoja4" sheetId="3" r:id="rId3"/>
    <sheet name="Hoja5" sheetId="4" r:id="rId4"/>
    <sheet name="Hoja6" sheetId="5" r:id="rId5"/>
    <sheet name="Hoja7" sheetId="6" r:id="rId6"/>
    <sheet name="Hoja8" sheetId="7" r:id="rId7"/>
    <sheet name="Hoja9" sheetId="8" r:id="rId8"/>
    <sheet name="TINTAS" sheetId="9" r:id="rId9"/>
    <sheet name="QUÍMICOS" sheetId="10" r:id="rId10"/>
    <sheet name="COSUMIBLES (2)" sheetId="11" r:id="rId11"/>
  </sheets>
  <definedNames>
    <definedName name="_xlnm._FilterDatabase" localSheetId="10" hidden="1">'COSUMIBLES (2)'!$A$8:$C$8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" i="6" l="1"/>
  <c r="D2" i="4"/>
</calcChain>
</file>

<file path=xl/sharedStrings.xml><?xml version="1.0" encoding="utf-8"?>
<sst xmlns="http://schemas.openxmlformats.org/spreadsheetml/2006/main" count="790" uniqueCount="366">
  <si>
    <t>MATERIAL</t>
  </si>
  <si>
    <t>MICRAS</t>
  </si>
  <si>
    <t>ANCHO</t>
  </si>
  <si>
    <t>KG</t>
  </si>
  <si>
    <t>BOPP NORMAL</t>
  </si>
  <si>
    <t>BOPP MATE</t>
  </si>
  <si>
    <t>METAL</t>
  </si>
  <si>
    <t>BOPP PASTA</t>
  </si>
  <si>
    <t>PERLADO</t>
  </si>
  <si>
    <t>CAST</t>
  </si>
  <si>
    <t xml:space="preserve">PEBD  </t>
  </si>
  <si>
    <t>*660*</t>
  </si>
  <si>
    <t>PEBD PIGMENT</t>
  </si>
  <si>
    <t xml:space="preserve">       INVENTARIO DE TINTAS </t>
  </si>
  <si>
    <t>LAMINACION</t>
  </si>
  <si>
    <t>SUPERFICIE</t>
  </si>
  <si>
    <t>COLOR</t>
  </si>
  <si>
    <t>CÓDIGO</t>
  </si>
  <si>
    <t>BLANCO</t>
  </si>
  <si>
    <t xml:space="preserve">BL-2036 </t>
  </si>
  <si>
    <t xml:space="preserve">BLANCO  </t>
  </si>
  <si>
    <t>BN-1093</t>
  </si>
  <si>
    <t>TINLAM-0001</t>
  </si>
  <si>
    <t xml:space="preserve">NEGRO  </t>
  </si>
  <si>
    <t>BF-0387</t>
  </si>
  <si>
    <t xml:space="preserve">NEGRO </t>
  </si>
  <si>
    <t>BL-2054</t>
  </si>
  <si>
    <t xml:space="preserve">MAGENTA  </t>
  </si>
  <si>
    <t>BN-1649</t>
  </si>
  <si>
    <t>TINLAM-0005</t>
  </si>
  <si>
    <t xml:space="preserve">CYAN  </t>
  </si>
  <si>
    <t>BN-1650</t>
  </si>
  <si>
    <t xml:space="preserve">NEGRO POLYESTER </t>
  </si>
  <si>
    <t>BL-1280</t>
  </si>
  <si>
    <t>AZUL REFLEX</t>
  </si>
  <si>
    <t>BF-1570</t>
  </si>
  <si>
    <t>TINLAM-0008</t>
  </si>
  <si>
    <t>AZUL PROCESO FLEXO SUPERFICIE</t>
  </si>
  <si>
    <t>BF-0134</t>
  </si>
  <si>
    <t xml:space="preserve">AMARILLO PROCESO </t>
  </si>
  <si>
    <t>BL-1132</t>
  </si>
  <si>
    <t xml:space="preserve">AMARILLO  </t>
  </si>
  <si>
    <t>BF-1564</t>
  </si>
  <si>
    <t>TINLAM-0002</t>
  </si>
  <si>
    <t>AMARILLO PROCESO</t>
  </si>
  <si>
    <t>TINSUP-0002</t>
  </si>
  <si>
    <t>ROJO 485 2X</t>
  </si>
  <si>
    <t>BL-0897</t>
  </si>
  <si>
    <t>BN-1674</t>
  </si>
  <si>
    <t>TINLAM-0007</t>
  </si>
  <si>
    <t>NARANJA 021</t>
  </si>
  <si>
    <t>BF-1757</t>
  </si>
  <si>
    <t>ROJO 485 "C"</t>
  </si>
  <si>
    <t>BL-2037</t>
  </si>
  <si>
    <t>DORADO ALVARIGUA</t>
  </si>
  <si>
    <t>BF-1874</t>
  </si>
  <si>
    <t xml:space="preserve">CYAN </t>
  </si>
  <si>
    <t>BL-1964</t>
  </si>
  <si>
    <t>BARNIZ SOBRE IMPRE</t>
  </si>
  <si>
    <t>BN-1692</t>
  </si>
  <si>
    <t>AZUL PROCESO</t>
  </si>
  <si>
    <t xml:space="preserve"> BL-1535</t>
  </si>
  <si>
    <t>AZUL 293</t>
  </si>
  <si>
    <t>BF-1857</t>
  </si>
  <si>
    <t>TINLAM-0003</t>
  </si>
  <si>
    <t xml:space="preserve">MAGENTA </t>
  </si>
  <si>
    <t>BL-1706</t>
  </si>
  <si>
    <t>MAGENTA TRAMA DIGITAL</t>
  </si>
  <si>
    <t>BL-2003</t>
  </si>
  <si>
    <t>PRUEBA LAMINACION</t>
  </si>
  <si>
    <t xml:space="preserve">REFLEX </t>
  </si>
  <si>
    <t>BL-1007</t>
  </si>
  <si>
    <t>EXTENDER</t>
  </si>
  <si>
    <t>BL-1883</t>
  </si>
  <si>
    <t>BL-1745</t>
  </si>
  <si>
    <t>TINLAM-0006</t>
  </si>
  <si>
    <t>BL-0985</t>
  </si>
  <si>
    <t>LAMINACION NUEVA</t>
  </si>
  <si>
    <t xml:space="preserve">VERDE "C" </t>
  </si>
  <si>
    <t>BL-1718</t>
  </si>
  <si>
    <t xml:space="preserve">VIOLETA PANTONE </t>
  </si>
  <si>
    <t>BL-0928</t>
  </si>
  <si>
    <t>VERDE DOÑA EMILIA</t>
  </si>
  <si>
    <t>BL-2273</t>
  </si>
  <si>
    <t>AZUL BUDARE</t>
  </si>
  <si>
    <t>BL-2260</t>
  </si>
  <si>
    <t>CREMA DOÑA EMILIA</t>
  </si>
  <si>
    <t>BL-2272</t>
  </si>
  <si>
    <t xml:space="preserve">NARANJA BUDARE </t>
  </si>
  <si>
    <t>BL-2259</t>
  </si>
  <si>
    <t xml:space="preserve">NARANJA MARY </t>
  </si>
  <si>
    <t>BL-2152</t>
  </si>
  <si>
    <t>CREMA MARY</t>
  </si>
  <si>
    <t>BL-2169</t>
  </si>
  <si>
    <t>INVENTARIO TINTAS IMPORTADAS</t>
  </si>
  <si>
    <t xml:space="preserve">VERDE MARY </t>
  </si>
  <si>
    <t>BL-1913</t>
  </si>
  <si>
    <t>BL-2134</t>
  </si>
  <si>
    <t>CREMA ALVARIGUA</t>
  </si>
  <si>
    <t>BL-2136</t>
  </si>
  <si>
    <t>DURALINE VAP BLANCO</t>
  </si>
  <si>
    <t>D88W006</t>
  </si>
  <si>
    <t>VERDE "P" 340-C (FINA IDEAL)</t>
  </si>
  <si>
    <t>BL-2162</t>
  </si>
  <si>
    <t>DURALINE P AP NEGRO PROCESS</t>
  </si>
  <si>
    <t>D87K064</t>
  </si>
  <si>
    <t>COMPUESTO DE CERA</t>
  </si>
  <si>
    <t>SP-0915</t>
  </si>
  <si>
    <t>DURALINE P AP AMARILLO PROCESS</t>
  </si>
  <si>
    <t>D81Y064</t>
  </si>
  <si>
    <t>VERDE 355</t>
  </si>
  <si>
    <t>BL-2119</t>
  </si>
  <si>
    <t>DURALINE P AP ROJO P485C</t>
  </si>
  <si>
    <t>D83R018</t>
  </si>
  <si>
    <t>VERDE DAMASCO</t>
  </si>
  <si>
    <t>BL-2105</t>
  </si>
  <si>
    <t>DURALINE P AP CYAN PROCESS</t>
  </si>
  <si>
    <t>D84B064</t>
  </si>
  <si>
    <t>AZUL FONDO SUPERIOR</t>
  </si>
  <si>
    <t>BL-2163</t>
  </si>
  <si>
    <t>DURALINE P AP MAGENTA PROCESS</t>
  </si>
  <si>
    <t>D83R036</t>
  </si>
  <si>
    <t>AZUL ESPIGA SUPERIOR</t>
  </si>
  <si>
    <t>BL-2164</t>
  </si>
  <si>
    <t>DURALINE P AP AZUL REFLEX</t>
  </si>
  <si>
    <t>D84B075</t>
  </si>
  <si>
    <t>OCRE ESPIGA MARY</t>
  </si>
  <si>
    <t>BL-2170</t>
  </si>
  <si>
    <t xml:space="preserve">VERDE BABO </t>
  </si>
  <si>
    <t>BL-2188</t>
  </si>
  <si>
    <t xml:space="preserve">MORADO NONNA </t>
  </si>
  <si>
    <t>DL FL 30136</t>
  </si>
  <si>
    <t>CREMA AMANECER (FAVICA)</t>
  </si>
  <si>
    <t xml:space="preserve"> FL 1024 (20KG)</t>
  </si>
  <si>
    <t>SOLVAFLEX PF BLANCO</t>
  </si>
  <si>
    <t>CREMA AMANECER (BARNIVENCA)</t>
  </si>
  <si>
    <t>MARRON AMANECER</t>
  </si>
  <si>
    <t xml:space="preserve"> 30125 (17KG)</t>
  </si>
  <si>
    <t>MARRON P-4725 LAMINACION</t>
  </si>
  <si>
    <t>BL-2210</t>
  </si>
  <si>
    <t>BEIGE (TINTA FLEX)</t>
  </si>
  <si>
    <t>467 8018 (17KG)</t>
  </si>
  <si>
    <t xml:space="preserve">INVENTARIO DE QUÍMICOS </t>
  </si>
  <si>
    <t>COD</t>
  </si>
  <si>
    <t>SOL IPA 001</t>
  </si>
  <si>
    <t xml:space="preserve">ALCOHOL ISOPROPILICO (IPA) </t>
  </si>
  <si>
    <t>SOL AC 002</t>
  </si>
  <si>
    <t>ACETATO N-PROPYL</t>
  </si>
  <si>
    <t>SOL MP 003</t>
  </si>
  <si>
    <t>METHOXY PROPANOL</t>
  </si>
  <si>
    <t>SOL AD 004</t>
  </si>
  <si>
    <t xml:space="preserve">ADHESIVO </t>
  </si>
  <si>
    <t>SOL CA 005</t>
  </si>
  <si>
    <t>CATALIZADOR</t>
  </si>
  <si>
    <t>ADHESIVO NUEVO</t>
  </si>
  <si>
    <t>CATALIZADOR NUEVO</t>
  </si>
  <si>
    <t>SOL 006</t>
  </si>
  <si>
    <t>SOLVENTE RECUPERADO</t>
  </si>
  <si>
    <t>CATALIZADOR 403</t>
  </si>
  <si>
    <t>-</t>
  </si>
  <si>
    <t>BARNIZ DESLIZANTE</t>
  </si>
  <si>
    <t xml:space="preserve"> </t>
  </si>
  <si>
    <t xml:space="preserve">INVENTARIO DE CONSUMIBLES </t>
  </si>
  <si>
    <t>FERRETERIA</t>
  </si>
  <si>
    <t>UNIDAD</t>
  </si>
  <si>
    <t>CANTIDAD</t>
  </si>
  <si>
    <t>unidad</t>
  </si>
  <si>
    <t>Alambre dulce</t>
  </si>
  <si>
    <t>kilos</t>
  </si>
  <si>
    <t>electrodos 3/32</t>
  </si>
  <si>
    <t>Brochas</t>
  </si>
  <si>
    <t>Pilas (3v) Lithiun</t>
  </si>
  <si>
    <t>Cepillo de alambre</t>
  </si>
  <si>
    <t>lija 60 para lijadora</t>
  </si>
  <si>
    <t>Tirro blanco 1"</t>
  </si>
  <si>
    <t>rollo</t>
  </si>
  <si>
    <t>lija 40</t>
  </si>
  <si>
    <t>Disco de corte 1/2x045x7/8</t>
  </si>
  <si>
    <t>Llave de paso 3/8" comexi N.</t>
  </si>
  <si>
    <t>Disco de trozadora 14"</t>
  </si>
  <si>
    <t>guantes para laminación</t>
  </si>
  <si>
    <t>Disco segmentado 4" 1/2</t>
  </si>
  <si>
    <t>guantes para impresión</t>
  </si>
  <si>
    <t>Fleje plastico 1/2 x 12mm</t>
  </si>
  <si>
    <t>bombillo led PEQUEÑO</t>
  </si>
  <si>
    <t>paquete</t>
  </si>
  <si>
    <t>Grapas metalicas 1/2 (paq)</t>
  </si>
  <si>
    <t>goma de batea o fregador</t>
  </si>
  <si>
    <t>Toma corriente 110 vlt</t>
  </si>
  <si>
    <t>Braker doble de 30</t>
  </si>
  <si>
    <t>Enchufe 110 vlt</t>
  </si>
  <si>
    <t xml:space="preserve">Braker triple de 50 </t>
  </si>
  <si>
    <t>mts</t>
  </si>
  <si>
    <t>Velumoide (papel empacadura)</t>
  </si>
  <si>
    <t>terminales</t>
  </si>
  <si>
    <t xml:space="preserve">llave para lavamanos </t>
  </si>
  <si>
    <t>mechas para concreto 3/8</t>
  </si>
  <si>
    <t>Desague lavamanos 1 1/4</t>
  </si>
  <si>
    <t>juego de mechas concreto</t>
  </si>
  <si>
    <t>Medias panty</t>
  </si>
  <si>
    <t>protector 220</t>
  </si>
  <si>
    <t>Limpiador de contactos</t>
  </si>
  <si>
    <t>rodillos pequeños con bandeja</t>
  </si>
  <si>
    <t>Pilas AAA</t>
  </si>
  <si>
    <t>lampara led</t>
  </si>
  <si>
    <t>soldadura para tubos PVC</t>
  </si>
  <si>
    <t>"T" de PVC 3/4</t>
  </si>
  <si>
    <t xml:space="preserve">strech Manual </t>
  </si>
  <si>
    <t>abrazadera grande</t>
  </si>
  <si>
    <t>strech para maquina</t>
  </si>
  <si>
    <t>electrodo 1/8</t>
  </si>
  <si>
    <t>Porta vasos conicos</t>
  </si>
  <si>
    <t>lija 80</t>
  </si>
  <si>
    <t>Hojillas para exacto</t>
  </si>
  <si>
    <t>lija 120</t>
  </si>
  <si>
    <t>Silicon SQ</t>
  </si>
  <si>
    <t>metros</t>
  </si>
  <si>
    <t>lija 220</t>
  </si>
  <si>
    <t>Teflón</t>
  </si>
  <si>
    <t>lija 360</t>
  </si>
  <si>
    <t>Teipe negro</t>
  </si>
  <si>
    <t>lija 1200</t>
  </si>
  <si>
    <t>Pila cuadrada</t>
  </si>
  <si>
    <t>lija 3000</t>
  </si>
  <si>
    <t>Pulitura de acero inoxidable</t>
  </si>
  <si>
    <t>Pantonera</t>
  </si>
  <si>
    <t>Faja de seguridad talla M</t>
  </si>
  <si>
    <t>apagadores</t>
  </si>
  <si>
    <t>Tirrap 7,6 x 300 mm</t>
  </si>
  <si>
    <t>canilla 1/2 x 7/8</t>
  </si>
  <si>
    <t>envase rociador</t>
  </si>
  <si>
    <t>desague lav. Corto 1 1/4</t>
  </si>
  <si>
    <t>cartucho</t>
  </si>
  <si>
    <t>Grasa para altas temperaturas</t>
  </si>
  <si>
    <t>Exacto</t>
  </si>
  <si>
    <t xml:space="preserve">desague flexible </t>
  </si>
  <si>
    <t>disco para pulir 6"x5/8x1/2</t>
  </si>
  <si>
    <t>bombillo led GRANDE</t>
  </si>
  <si>
    <t>soldadura liquida PVC</t>
  </si>
  <si>
    <t>Mezclador de adhesivo</t>
  </si>
  <si>
    <t>cristal para soldar</t>
  </si>
  <si>
    <t>guantes de latex negros</t>
  </si>
  <si>
    <t>teipe vinyl electrico</t>
  </si>
  <si>
    <t>grasa para maquinas</t>
  </si>
  <si>
    <t>Disco desbaste 4,5x1/4x7/8</t>
  </si>
  <si>
    <t>ducto flexadrux 4" x 25ft</t>
  </si>
  <si>
    <t>Hoja de para Segueta</t>
  </si>
  <si>
    <t>INVENTARIO DE CONSUMIBLES</t>
  </si>
  <si>
    <t>HERRAMIENTAS</t>
  </si>
  <si>
    <t>LIMPIEZA</t>
  </si>
  <si>
    <t>juego de llaves allen</t>
  </si>
  <si>
    <t>Bolsas negras grandes</t>
  </si>
  <si>
    <t>juego de destornilladores</t>
  </si>
  <si>
    <t>Jabon liquido</t>
  </si>
  <si>
    <t xml:space="preserve">pinza de electricista </t>
  </si>
  <si>
    <t>Cloro</t>
  </si>
  <si>
    <t>martillo normal cacha goma</t>
  </si>
  <si>
    <t>Desinfectante</t>
  </si>
  <si>
    <t>martillo normal cacha madera</t>
  </si>
  <si>
    <t>Desengrasante</t>
  </si>
  <si>
    <t>martillo de goma grande</t>
  </si>
  <si>
    <t>Jabon de manos</t>
  </si>
  <si>
    <t>martillo de goma pequeño</t>
  </si>
  <si>
    <t>Mas</t>
  </si>
  <si>
    <t>llave ajustable</t>
  </si>
  <si>
    <t>Limpia Anilox</t>
  </si>
  <si>
    <t xml:space="preserve">llave de tubos </t>
  </si>
  <si>
    <t>Ajax en polvo 595 gr</t>
  </si>
  <si>
    <t>alicate de presión</t>
  </si>
  <si>
    <t>Trapos</t>
  </si>
  <si>
    <t>Linterna</t>
  </si>
  <si>
    <t>litro</t>
  </si>
  <si>
    <t>Solucion antibacteriana</t>
  </si>
  <si>
    <t xml:space="preserve">Marcador de tratado </t>
  </si>
  <si>
    <t>Destapador de cannas</t>
  </si>
  <si>
    <t>Acople de teflon corta core</t>
  </si>
  <si>
    <t>Vasos conicos</t>
  </si>
  <si>
    <t>rollos</t>
  </si>
  <si>
    <t>Papel higienico</t>
  </si>
  <si>
    <t>Bolsas negras pequeñas</t>
  </si>
  <si>
    <t>Cepillo de barrer</t>
  </si>
  <si>
    <t>Cepillo de barrer celda gruesa</t>
  </si>
  <si>
    <t>Guantes de nitrilo verdes XL</t>
  </si>
  <si>
    <t>Guantes de nitrilo verdes XXL</t>
  </si>
  <si>
    <t>Guantes multiusos</t>
  </si>
  <si>
    <t>Guantes de neopreno</t>
  </si>
  <si>
    <t>Guantes quirurgicos</t>
  </si>
  <si>
    <t>Guantes de algodón</t>
  </si>
  <si>
    <t xml:space="preserve">Haragán plastico </t>
  </si>
  <si>
    <t>Palo de cepillo</t>
  </si>
  <si>
    <t>Pañitos amarillos</t>
  </si>
  <si>
    <t>Toallin</t>
  </si>
  <si>
    <t>Coletos</t>
  </si>
  <si>
    <t>Cepillo limpia poceta</t>
  </si>
  <si>
    <t>Pala plastica con cabo</t>
  </si>
  <si>
    <t>Esponja doble uso colon</t>
  </si>
  <si>
    <t>Esponja</t>
  </si>
  <si>
    <t>Tobos 10 litros</t>
  </si>
  <si>
    <t>Exprimidor de mopas</t>
  </si>
  <si>
    <t>Tobos 12 litros</t>
  </si>
  <si>
    <t>Lampazo</t>
  </si>
  <si>
    <t>Plumero</t>
  </si>
  <si>
    <t>PAPELERIA</t>
  </si>
  <si>
    <t>Cinta morropack transp.</t>
  </si>
  <si>
    <t>Tacos blancos logo axones</t>
  </si>
  <si>
    <t>Cinta morropack marron</t>
  </si>
  <si>
    <t>Talonarios de impresión</t>
  </si>
  <si>
    <t>Porta Cinta con cinta Adhesiva</t>
  </si>
  <si>
    <t>talonarios de laminacion</t>
  </si>
  <si>
    <t>cinta adhesiva uso oficina</t>
  </si>
  <si>
    <t>talonarios de corte</t>
  </si>
  <si>
    <t>resma</t>
  </si>
  <si>
    <t>Resma de hojas T. oficio</t>
  </si>
  <si>
    <t>Tacos auto adhesivos</t>
  </si>
  <si>
    <t>Resma de hojas T. carta</t>
  </si>
  <si>
    <t>Forma iteveca vale</t>
  </si>
  <si>
    <t>Etiquetas para corte</t>
  </si>
  <si>
    <t>Recibo de caja chica</t>
  </si>
  <si>
    <t>Etiquetas amarillas</t>
  </si>
  <si>
    <t>Libretas 1 linea</t>
  </si>
  <si>
    <t>Saca grapas</t>
  </si>
  <si>
    <t>caja</t>
  </si>
  <si>
    <t>Ganchos de carpetas</t>
  </si>
  <si>
    <t>Almohadilla dactilar</t>
  </si>
  <si>
    <t>ganchos doble clip</t>
  </si>
  <si>
    <t xml:space="preserve">Boligrafo </t>
  </si>
  <si>
    <t>Cd virgen</t>
  </si>
  <si>
    <t>Borrador nata (624) mayka</t>
  </si>
  <si>
    <t>Pega en barra</t>
  </si>
  <si>
    <t>Lapiz de grafito</t>
  </si>
  <si>
    <t>Pega Loca</t>
  </si>
  <si>
    <t>corrector liquido</t>
  </si>
  <si>
    <t>Carpeta manila T. carta</t>
  </si>
  <si>
    <t>Carpeta manila T. oficio</t>
  </si>
  <si>
    <t>Carpeta marron T. carta</t>
  </si>
  <si>
    <t>carpeta oficio logo axones</t>
  </si>
  <si>
    <t>carpetas lomo ancho</t>
  </si>
  <si>
    <t>Carpeta marron oficio</t>
  </si>
  <si>
    <t>Carpeta marron extraoficio</t>
  </si>
  <si>
    <t>Carpeta marron carta plastificada</t>
  </si>
  <si>
    <t>Carpeta para archivador</t>
  </si>
  <si>
    <t>Tabla de chequeo</t>
  </si>
  <si>
    <t>grapas corrugadas</t>
  </si>
  <si>
    <t>grapas lisas</t>
  </si>
  <si>
    <t>Marcador permanente</t>
  </si>
  <si>
    <t>Marcador acrilico</t>
  </si>
  <si>
    <t>Resaltador amarillo</t>
  </si>
  <si>
    <t>Resaltador verde</t>
  </si>
  <si>
    <t>Resaltador Rosado</t>
  </si>
  <si>
    <t>Sobre manila T. carta</t>
  </si>
  <si>
    <t>Sobre manila T. oficio</t>
  </si>
  <si>
    <t>Sobre manila T. extra oficio</t>
  </si>
  <si>
    <t xml:space="preserve">Sobre blanco </t>
  </si>
  <si>
    <t>Sobre blanco pequeño</t>
  </si>
  <si>
    <t>chinches</t>
  </si>
  <si>
    <t>clips</t>
  </si>
  <si>
    <t>REPUESTOS VARIOS</t>
  </si>
  <si>
    <t>camara de aire t/"a" 15mm</t>
  </si>
  <si>
    <t>camara de aire t/"a" 20mm</t>
  </si>
  <si>
    <t>rodamientos nk3530-tv-xl</t>
  </si>
  <si>
    <t>rodamiento 6208-2zr-c3</t>
  </si>
  <si>
    <t>hojillas maq china</t>
  </si>
  <si>
    <t>Hojilla de Racla 0,20*40mm</t>
  </si>
  <si>
    <t>Hojilla de Racla 0,20*38mm</t>
  </si>
  <si>
    <t>Hojilla de Racla 0,20*35mm</t>
  </si>
  <si>
    <t>Bomba de enfriamiento comexi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</si>
</sst>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0">
    <xf numFmtId="0" fontId="0" fillId="0" borderId="0" xfId="0"/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6" fillId="4" borderId="2" xfId="0" applyFont="1" applyFill="1" applyBorder="1" applyAlignment="1">
      <alignment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3" fontId="6" fillId="4" borderId="1" xfId="0" applyNumberFormat="1" applyFont="1" applyFill="1" applyBorder="1" applyAlignment="1">
      <alignment horizontal="center"/>
    </xf>
    <xf numFmtId="4" fontId="6" fillId="4" borderId="1" xfId="0" applyNumberFormat="1" applyFont="1" applyFill="1" applyBorder="1" applyAlignment="1">
      <alignment horizontal="center"/>
    </xf>
    <xf numFmtId="3" fontId="7" fillId="4" borderId="2" xfId="0" applyNumberFormat="1" applyFont="1" applyFill="1" applyBorder="1" applyAlignment="1">
      <alignment vertical="center" wrapText="1"/>
    </xf>
    <xf numFmtId="3" fontId="6" fillId="4" borderId="2" xfId="0" applyNumberFormat="1" applyFont="1" applyFill="1" applyBorder="1" applyAlignment="1">
      <alignment vertical="center" wrapText="1"/>
    </xf>
    <xf numFmtId="3" fontId="6" fillId="5" borderId="1" xfId="0" applyNumberFormat="1" applyFont="1" applyFill="1" applyBorder="1" applyAlignment="1">
      <alignment horizontal="center"/>
    </xf>
    <xf numFmtId="4" fontId="6" fillId="4" borderId="3" xfId="0" applyNumberFormat="1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3" fontId="6" fillId="6" borderId="1" xfId="0" applyNumberFormat="1" applyFont="1" applyFill="1" applyBorder="1" applyAlignment="1">
      <alignment horizontal="center"/>
    </xf>
    <xf numFmtId="4" fontId="6" fillId="6" borderId="1" xfId="0" applyNumberFormat="1" applyFont="1" applyFill="1" applyBorder="1" applyAlignment="1">
      <alignment horizontal="center"/>
    </xf>
    <xf numFmtId="3" fontId="7" fillId="6" borderId="4" xfId="0" applyNumberFormat="1" applyFont="1" applyFill="1" applyBorder="1" applyAlignment="1">
      <alignment horizontal="center" vertical="center" wrapText="1"/>
    </xf>
    <xf numFmtId="3" fontId="6" fillId="7" borderId="1" xfId="0" applyNumberFormat="1" applyFont="1" applyFill="1" applyBorder="1" applyAlignment="1">
      <alignment horizontal="center"/>
    </xf>
    <xf numFmtId="0" fontId="6" fillId="6" borderId="2" xfId="0" applyFont="1" applyFill="1" applyBorder="1" applyAlignment="1">
      <alignment vertical="center" wrapText="1"/>
    </xf>
    <xf numFmtId="3" fontId="7" fillId="6" borderId="2" xfId="0" applyNumberFormat="1" applyFont="1" applyFill="1" applyBorder="1" applyAlignment="1">
      <alignment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/>
    </xf>
    <xf numFmtId="4" fontId="6" fillId="8" borderId="1" xfId="0" applyNumberFormat="1" applyFont="1" applyFill="1" applyBorder="1" applyAlignment="1">
      <alignment horizontal="center"/>
    </xf>
    <xf numFmtId="4" fontId="6" fillId="8" borderId="4" xfId="0" applyNumberFormat="1" applyFont="1" applyFill="1" applyBorder="1" applyAlignment="1">
      <alignment horizontal="center"/>
    </xf>
    <xf numFmtId="4" fontId="6" fillId="8" borderId="3" xfId="0" applyNumberFormat="1" applyFont="1" applyFill="1" applyBorder="1" applyAlignment="1">
      <alignment horizontal="center"/>
    </xf>
    <xf numFmtId="0" fontId="6" fillId="8" borderId="2" xfId="0" applyFont="1" applyFill="1" applyBorder="1" applyAlignment="1">
      <alignment vertical="center"/>
    </xf>
    <xf numFmtId="0" fontId="6" fillId="8" borderId="2" xfId="0" applyFont="1" applyFill="1" applyBorder="1" applyAlignment="1">
      <alignment vertical="center" wrapText="1"/>
    </xf>
    <xf numFmtId="0" fontId="6" fillId="8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vertical="center" wrapText="1"/>
    </xf>
    <xf numFmtId="3" fontId="6" fillId="8" borderId="1" xfId="0" applyNumberFormat="1" applyFont="1" applyFill="1" applyBorder="1" applyAlignment="1">
      <alignment horizontal="center"/>
    </xf>
    <xf numFmtId="3" fontId="6" fillId="8" borderId="2" xfId="0" applyNumberFormat="1" applyFont="1" applyFill="1" applyBorder="1" applyAlignment="1">
      <alignment vertical="center" wrapText="1"/>
    </xf>
    <xf numFmtId="3" fontId="6" fillId="10" borderId="1" xfId="0" applyNumberFormat="1" applyFont="1" applyFill="1" applyBorder="1" applyAlignment="1">
      <alignment horizontal="center"/>
    </xf>
    <xf numFmtId="4" fontId="6" fillId="9" borderId="1" xfId="0" applyNumberFormat="1" applyFont="1" applyFill="1" applyBorder="1" applyAlignment="1">
      <alignment horizontal="center"/>
    </xf>
    <xf numFmtId="0" fontId="6" fillId="9" borderId="2" xfId="0" applyFont="1" applyFill="1" applyBorder="1" applyAlignment="1">
      <alignment vertical="center"/>
    </xf>
    <xf numFmtId="3" fontId="7" fillId="9" borderId="2" xfId="0" applyNumberFormat="1" applyFont="1" applyFill="1" applyBorder="1" applyAlignment="1">
      <alignment vertical="center" wrapText="1"/>
    </xf>
    <xf numFmtId="3" fontId="7" fillId="11" borderId="2" xfId="0" applyNumberFormat="1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/>
    </xf>
    <xf numFmtId="4" fontId="6" fillId="11" borderId="1" xfId="0" applyNumberFormat="1" applyFont="1" applyFill="1" applyBorder="1" applyAlignment="1">
      <alignment horizontal="center"/>
    </xf>
    <xf numFmtId="3" fontId="6" fillId="11" borderId="1" xfId="0" applyNumberFormat="1" applyFont="1" applyFill="1" applyBorder="1" applyAlignment="1">
      <alignment horizontal="center" vertical="center" wrapText="1"/>
    </xf>
    <xf numFmtId="3" fontId="6" fillId="11" borderId="4" xfId="0" applyNumberFormat="1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vertical="center"/>
    </xf>
    <xf numFmtId="0" fontId="7" fillId="11" borderId="2" xfId="0" applyFont="1" applyFill="1" applyBorder="1" applyAlignment="1">
      <alignment vertical="center" wrapText="1"/>
    </xf>
    <xf numFmtId="3" fontId="6" fillId="11" borderId="2" xfId="0" applyNumberFormat="1" applyFont="1" applyFill="1" applyBorder="1" applyAlignment="1">
      <alignment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/>
    </xf>
    <xf numFmtId="4" fontId="6" fillId="4" borderId="1" xfId="0" quotePrefix="1" applyNumberFormat="1" applyFont="1" applyFill="1" applyBorder="1" applyAlignment="1">
      <alignment horizontal="center"/>
    </xf>
    <xf numFmtId="4" fontId="7" fillId="4" borderId="1" xfId="0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 wrapText="1"/>
    </xf>
    <xf numFmtId="4" fontId="6" fillId="4" borderId="4" xfId="0" applyNumberFormat="1" applyFont="1" applyFill="1" applyBorder="1" applyAlignment="1">
      <alignment horizontal="center"/>
    </xf>
    <xf numFmtId="0" fontId="6" fillId="4" borderId="2" xfId="0" applyFont="1" applyFill="1" applyBorder="1" applyAlignment="1">
      <alignment vertical="center"/>
    </xf>
    <xf numFmtId="3" fontId="6" fillId="9" borderId="1" xfId="0" applyNumberFormat="1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vertical="center" wrapText="1"/>
    </xf>
    <xf numFmtId="3" fontId="6" fillId="9" borderId="2" xfId="0" applyNumberFormat="1" applyFont="1" applyFill="1" applyBorder="1" applyAlignment="1">
      <alignment vertical="center" wrapText="1"/>
    </xf>
    <xf numFmtId="0" fontId="6" fillId="9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 wrapText="1"/>
    </xf>
    <xf numFmtId="0" fontId="6" fillId="11" borderId="1" xfId="0" applyFont="1" applyFill="1" applyBorder="1" applyAlignment="1">
      <alignment vertical="center"/>
    </xf>
    <xf numFmtId="0" fontId="6" fillId="9" borderId="1" xfId="0" applyFont="1" applyFill="1" applyBorder="1" applyAlignment="1">
      <alignment vertical="center"/>
    </xf>
    <xf numFmtId="3" fontId="7" fillId="9" borderId="1" xfId="0" applyNumberFormat="1" applyFont="1" applyFill="1" applyBorder="1" applyAlignment="1">
      <alignment vertical="center" wrapText="1"/>
    </xf>
    <xf numFmtId="3" fontId="6" fillId="8" borderId="1" xfId="0" applyNumberFormat="1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3" fontId="7" fillId="6" borderId="1" xfId="0" applyNumberFormat="1" applyFont="1" applyFill="1" applyBorder="1" applyAlignment="1">
      <alignment horizontal="center" vertical="center" wrapText="1"/>
    </xf>
    <xf numFmtId="14" fontId="3" fillId="0" borderId="0" xfId="0" applyNumberFormat="1" applyFont="1" applyAlignment="1"/>
    <xf numFmtId="0" fontId="3" fillId="3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64" fontId="0" fillId="0" borderId="1" xfId="0" applyNumberFormat="1" applyFont="1" applyFill="1" applyBorder="1" applyAlignment="1">
      <alignment horizontal="center"/>
    </xf>
    <xf numFmtId="0" fontId="0" fillId="0" borderId="0" xfId="0" applyFill="1"/>
    <xf numFmtId="0" fontId="0" fillId="0" borderId="1" xfId="0" applyFill="1" applyBorder="1"/>
    <xf numFmtId="4" fontId="0" fillId="0" borderId="1" xfId="0" applyNumberFormat="1" applyFill="1" applyBorder="1" applyAlignment="1">
      <alignment horizontal="center"/>
    </xf>
    <xf numFmtId="164" fontId="9" fillId="0" borderId="1" xfId="0" applyNumberFormat="1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1" fillId="0" borderId="1" xfId="1" applyFill="1" applyBorder="1" applyAlignment="1">
      <alignment horizontal="center"/>
    </xf>
    <xf numFmtId="0" fontId="9" fillId="2" borderId="1" xfId="1" applyFont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9" fillId="1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0" xfId="0" applyFont="1"/>
    <xf numFmtId="0" fontId="0" fillId="0" borderId="2" xfId="0" applyFill="1" applyBorder="1" applyAlignment="1">
      <alignment vertical="center"/>
    </xf>
    <xf numFmtId="3" fontId="9" fillId="0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vertical="center"/>
    </xf>
    <xf numFmtId="0" fontId="2" fillId="0" borderId="0" xfId="0" applyFont="1"/>
    <xf numFmtId="14" fontId="3" fillId="0" borderId="0" xfId="0" applyNumberFormat="1" applyFont="1"/>
    <xf numFmtId="4" fontId="2" fillId="0" borderId="0" xfId="0" applyNumberFormat="1" applyFont="1"/>
    <xf numFmtId="0" fontId="8" fillId="14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  <xf numFmtId="4" fontId="3" fillId="0" borderId="1" xfId="0" applyNumberFormat="1" applyFont="1" applyFill="1" applyBorder="1" applyAlignment="1">
      <alignment horizontal="center" vertical="center" wrapText="1"/>
    </xf>
    <xf numFmtId="4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0" fillId="0" borderId="0" xfId="0" applyBorder="1"/>
    <xf numFmtId="4" fontId="3" fillId="12" borderId="1" xfId="0" applyNumberFormat="1" applyFont="1" applyFill="1" applyBorder="1" applyAlignment="1">
      <alignment horizontal="center" vertical="center" wrapText="1"/>
    </xf>
    <xf numFmtId="4" fontId="3" fillId="5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8" fillId="0" borderId="0" xfId="0" applyFont="1" applyAlignment="1"/>
    <xf numFmtId="0" fontId="3" fillId="0" borderId="0" xfId="0" applyFont="1"/>
    <xf numFmtId="0" fontId="3" fillId="14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3" fontId="3" fillId="0" borderId="1" xfId="0" applyNumberFormat="1" applyFont="1" applyFill="1" applyBorder="1" applyAlignment="1">
      <alignment horizontal="center" vertic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3" fontId="0" fillId="0" borderId="0" xfId="0" applyNumberFormat="1"/>
    <xf numFmtId="0" fontId="8" fillId="0" borderId="0" xfId="0" applyFont="1" applyAlignment="1">
      <alignment horizontal="center"/>
    </xf>
    <xf numFmtId="3" fontId="3" fillId="12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/>
    </xf>
    <xf numFmtId="3" fontId="3" fillId="0" borderId="0" xfId="0" applyNumberFormat="1" applyFont="1" applyFill="1" applyBorder="1" applyAlignment="1">
      <alignment horizontal="center" vertical="center" wrapText="1"/>
    </xf>
    <xf numFmtId="0" fontId="3" fillId="13" borderId="0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0" fillId="0" borderId="2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3" fillId="0" borderId="8" xfId="0" applyFont="1" applyBorder="1" applyAlignment="1">
      <alignment horizontal="center"/>
    </xf>
  </cellXfs>
  <cellStyles count="2">
    <cellStyle name="Incorrecto 2" xfId="1"/>
    <cellStyle name="Normal" xfId="0" builtinId="0"/>
  </cellStyles>
  <dxfs count="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workbookViewId="0">
      <selection activeCell="H11" sqref="H11"/>
    </sheetView>
  </sheetViews>
  <sheetFormatPr baseColWidth="10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ht="15" customHeight="1" x14ac:dyDescent="0.25">
      <c r="A2" s="3" t="s">
        <v>4</v>
      </c>
      <c r="B2" s="4">
        <v>15</v>
      </c>
      <c r="C2" s="5">
        <v>700</v>
      </c>
      <c r="D2" s="6">
        <v>73</v>
      </c>
    </row>
    <row r="3" spans="1:4" ht="22.5" x14ac:dyDescent="0.25">
      <c r="A3" s="3" t="s">
        <v>4</v>
      </c>
      <c r="B3" s="7">
        <v>17</v>
      </c>
      <c r="C3" s="5">
        <v>620</v>
      </c>
      <c r="D3" s="6">
        <v>283.2</v>
      </c>
    </row>
    <row r="4" spans="1:4" ht="22.5" x14ac:dyDescent="0.25">
      <c r="A4" s="3" t="s">
        <v>4</v>
      </c>
      <c r="B4" s="7">
        <v>17</v>
      </c>
      <c r="C4" s="5">
        <v>710</v>
      </c>
      <c r="D4" s="6">
        <v>46</v>
      </c>
    </row>
    <row r="5" spans="1:4" ht="22.5" x14ac:dyDescent="0.25">
      <c r="A5" s="3" t="s">
        <v>4</v>
      </c>
      <c r="B5" s="7">
        <v>20</v>
      </c>
      <c r="C5" s="5">
        <v>600</v>
      </c>
      <c r="D5" s="6">
        <v>0</v>
      </c>
    </row>
    <row r="6" spans="1:4" ht="22.5" x14ac:dyDescent="0.25">
      <c r="A6" s="3" t="s">
        <v>4</v>
      </c>
      <c r="B6" s="7">
        <v>20</v>
      </c>
      <c r="C6" s="5">
        <v>580</v>
      </c>
      <c r="D6" s="6">
        <v>0</v>
      </c>
    </row>
    <row r="7" spans="1:4" ht="22.5" x14ac:dyDescent="0.25">
      <c r="A7" s="3" t="s">
        <v>4</v>
      </c>
      <c r="B7" s="7">
        <v>20</v>
      </c>
      <c r="C7" s="5">
        <v>610</v>
      </c>
      <c r="D7" s="6">
        <v>1883.08</v>
      </c>
    </row>
    <row r="8" spans="1:4" ht="22.5" x14ac:dyDescent="0.25">
      <c r="A8" s="3" t="s">
        <v>4</v>
      </c>
      <c r="B8" s="7">
        <v>20</v>
      </c>
      <c r="C8" s="5">
        <v>630</v>
      </c>
      <c r="D8" s="6">
        <v>1731.6</v>
      </c>
    </row>
    <row r="9" spans="1:4" ht="22.5" x14ac:dyDescent="0.25">
      <c r="A9" s="3" t="s">
        <v>4</v>
      </c>
      <c r="B9" s="7">
        <v>20</v>
      </c>
      <c r="C9" s="5">
        <v>640</v>
      </c>
      <c r="D9" s="6">
        <v>0</v>
      </c>
    </row>
    <row r="10" spans="1:4" ht="22.5" x14ac:dyDescent="0.25">
      <c r="A10" s="3" t="s">
        <v>4</v>
      </c>
      <c r="B10" s="7">
        <v>20</v>
      </c>
      <c r="C10" s="5">
        <v>700</v>
      </c>
      <c r="D10" s="6">
        <v>572.20000000000005</v>
      </c>
    </row>
    <row r="11" spans="1:4" ht="22.5" x14ac:dyDescent="0.25">
      <c r="A11" s="3" t="s">
        <v>4</v>
      </c>
      <c r="B11" s="7">
        <v>20</v>
      </c>
      <c r="C11" s="5">
        <v>740</v>
      </c>
      <c r="D11" s="6">
        <v>0</v>
      </c>
    </row>
    <row r="12" spans="1:4" ht="22.5" x14ac:dyDescent="0.25">
      <c r="A12" s="3" t="s">
        <v>4</v>
      </c>
      <c r="B12" s="7">
        <v>20</v>
      </c>
      <c r="C12" s="5">
        <v>760</v>
      </c>
      <c r="D12" s="6">
        <v>0</v>
      </c>
    </row>
    <row r="13" spans="1:4" ht="22.5" x14ac:dyDescent="0.25">
      <c r="A13" s="3" t="s">
        <v>4</v>
      </c>
      <c r="B13" s="7">
        <v>20</v>
      </c>
      <c r="C13" s="5">
        <v>770</v>
      </c>
      <c r="D13" s="6">
        <v>0</v>
      </c>
    </row>
    <row r="14" spans="1:4" ht="22.5" x14ac:dyDescent="0.25">
      <c r="A14" s="3" t="s">
        <v>4</v>
      </c>
      <c r="B14" s="7">
        <v>20</v>
      </c>
      <c r="C14" s="5">
        <v>800</v>
      </c>
      <c r="D14" s="6">
        <v>0</v>
      </c>
    </row>
    <row r="15" spans="1:4" ht="22.5" x14ac:dyDescent="0.25">
      <c r="A15" s="3" t="s">
        <v>4</v>
      </c>
      <c r="B15" s="7">
        <v>20</v>
      </c>
      <c r="C15" s="5">
        <v>805</v>
      </c>
      <c r="D15" s="6">
        <v>0</v>
      </c>
    </row>
    <row r="16" spans="1:4" ht="22.5" x14ac:dyDescent="0.25">
      <c r="A16" s="3" t="s">
        <v>4</v>
      </c>
      <c r="B16" s="7">
        <v>20</v>
      </c>
      <c r="C16" s="5">
        <v>860</v>
      </c>
      <c r="D16" s="6">
        <v>2030.4</v>
      </c>
    </row>
    <row r="17" spans="1:4" ht="22.5" x14ac:dyDescent="0.25">
      <c r="A17" s="3" t="s">
        <v>4</v>
      </c>
      <c r="B17" s="8">
        <v>25</v>
      </c>
      <c r="C17" s="9">
        <v>460</v>
      </c>
      <c r="D17" s="6">
        <v>365.16</v>
      </c>
    </row>
    <row r="18" spans="1:4" ht="22.5" x14ac:dyDescent="0.25">
      <c r="A18" s="3" t="s">
        <v>4</v>
      </c>
      <c r="B18" s="8">
        <v>25</v>
      </c>
      <c r="C18" s="5">
        <v>490</v>
      </c>
      <c r="D18" s="6">
        <v>341.9</v>
      </c>
    </row>
    <row r="19" spans="1:4" ht="22.5" x14ac:dyDescent="0.25">
      <c r="A19" s="3" t="s">
        <v>4</v>
      </c>
      <c r="B19" s="8">
        <v>25</v>
      </c>
      <c r="C19" s="5">
        <v>560</v>
      </c>
      <c r="D19" s="6">
        <v>763.25</v>
      </c>
    </row>
    <row r="20" spans="1:4" ht="22.5" x14ac:dyDescent="0.25">
      <c r="A20" s="3" t="s">
        <v>4</v>
      </c>
      <c r="B20" s="8">
        <v>25</v>
      </c>
      <c r="C20" s="9">
        <v>560</v>
      </c>
      <c r="D20" s="6">
        <v>938.29</v>
      </c>
    </row>
    <row r="21" spans="1:4" ht="22.5" x14ac:dyDescent="0.25">
      <c r="A21" s="3" t="s">
        <v>4</v>
      </c>
      <c r="B21" s="8">
        <v>25</v>
      </c>
      <c r="C21" s="5">
        <v>620</v>
      </c>
      <c r="D21" s="6">
        <v>0</v>
      </c>
    </row>
    <row r="22" spans="1:4" ht="22.5" x14ac:dyDescent="0.25">
      <c r="A22" s="3" t="s">
        <v>4</v>
      </c>
      <c r="B22" s="8">
        <v>25</v>
      </c>
      <c r="C22" s="9">
        <v>620</v>
      </c>
      <c r="D22" s="6">
        <v>12980.29</v>
      </c>
    </row>
    <row r="23" spans="1:4" ht="22.5" x14ac:dyDescent="0.25">
      <c r="A23" s="3" t="s">
        <v>4</v>
      </c>
      <c r="B23" s="8">
        <v>25</v>
      </c>
      <c r="C23" s="5">
        <v>635</v>
      </c>
      <c r="D23" s="6">
        <v>134.4</v>
      </c>
    </row>
    <row r="24" spans="1:4" ht="22.5" x14ac:dyDescent="0.25">
      <c r="A24" s="3" t="s">
        <v>4</v>
      </c>
      <c r="B24" s="8">
        <v>25</v>
      </c>
      <c r="C24" s="5">
        <v>640</v>
      </c>
      <c r="D24" s="6">
        <v>379.7</v>
      </c>
    </row>
    <row r="25" spans="1:4" ht="22.5" x14ac:dyDescent="0.25">
      <c r="A25" s="3" t="s">
        <v>4</v>
      </c>
      <c r="B25" s="8">
        <v>25</v>
      </c>
      <c r="C25" s="5">
        <v>660</v>
      </c>
      <c r="D25" s="6">
        <v>0</v>
      </c>
    </row>
    <row r="26" spans="1:4" ht="22.5" x14ac:dyDescent="0.25">
      <c r="A26" s="3" t="s">
        <v>4</v>
      </c>
      <c r="B26" s="8">
        <v>25</v>
      </c>
      <c r="C26" s="5">
        <v>670</v>
      </c>
      <c r="D26" s="10">
        <v>273.39999999999998</v>
      </c>
    </row>
    <row r="27" spans="1:4" ht="22.5" x14ac:dyDescent="0.25">
      <c r="A27" s="3" t="s">
        <v>4</v>
      </c>
      <c r="B27" s="8">
        <v>25</v>
      </c>
      <c r="C27" s="5">
        <v>680</v>
      </c>
      <c r="D27" s="6">
        <v>0</v>
      </c>
    </row>
    <row r="28" spans="1:4" ht="22.5" x14ac:dyDescent="0.25">
      <c r="A28" s="3" t="s">
        <v>4</v>
      </c>
      <c r="B28" s="8">
        <v>25</v>
      </c>
      <c r="C28" s="9">
        <v>680</v>
      </c>
      <c r="D28" s="6">
        <v>9902.7000000000007</v>
      </c>
    </row>
    <row r="29" spans="1:4" ht="22.5" x14ac:dyDescent="0.25">
      <c r="A29" s="3" t="s">
        <v>4</v>
      </c>
      <c r="B29" s="8">
        <v>25</v>
      </c>
      <c r="C29" s="9">
        <v>750</v>
      </c>
      <c r="D29" s="6">
        <v>14296.6</v>
      </c>
    </row>
    <row r="30" spans="1:4" ht="22.5" x14ac:dyDescent="0.25">
      <c r="A30" s="3" t="s">
        <v>4</v>
      </c>
      <c r="B30" s="8">
        <v>25</v>
      </c>
      <c r="C30" s="5">
        <v>760</v>
      </c>
      <c r="D30" s="6">
        <v>43</v>
      </c>
    </row>
    <row r="31" spans="1:4" ht="22.5" x14ac:dyDescent="0.25">
      <c r="A31" s="3" t="s">
        <v>4</v>
      </c>
      <c r="B31" s="8">
        <v>25</v>
      </c>
      <c r="C31" s="5">
        <v>770</v>
      </c>
      <c r="D31" s="6">
        <v>0</v>
      </c>
    </row>
    <row r="32" spans="1:4" ht="22.5" x14ac:dyDescent="0.25">
      <c r="A32" s="3" t="s">
        <v>4</v>
      </c>
      <c r="B32" s="8">
        <v>25</v>
      </c>
      <c r="C32" s="9">
        <v>780</v>
      </c>
      <c r="D32" s="6">
        <v>3161.22</v>
      </c>
    </row>
    <row r="33" spans="1:4" ht="22.5" x14ac:dyDescent="0.25">
      <c r="A33" s="3" t="s">
        <v>4</v>
      </c>
      <c r="B33" s="8">
        <v>25</v>
      </c>
      <c r="C33" s="5">
        <v>815</v>
      </c>
      <c r="D33" s="6">
        <v>0</v>
      </c>
    </row>
    <row r="34" spans="1:4" ht="22.5" x14ac:dyDescent="0.25">
      <c r="A34" s="3" t="s">
        <v>4</v>
      </c>
      <c r="B34" s="7">
        <v>30</v>
      </c>
      <c r="C34" s="5">
        <v>460</v>
      </c>
      <c r="D34" s="6">
        <v>0</v>
      </c>
    </row>
    <row r="35" spans="1:4" ht="22.5" x14ac:dyDescent="0.25">
      <c r="A35" s="3" t="s">
        <v>4</v>
      </c>
      <c r="B35" s="7">
        <v>30</v>
      </c>
      <c r="C35" s="5">
        <v>620</v>
      </c>
      <c r="D35" s="6">
        <v>0</v>
      </c>
    </row>
    <row r="36" spans="1:4" ht="22.5" x14ac:dyDescent="0.25">
      <c r="A36" s="3" t="s">
        <v>4</v>
      </c>
      <c r="B36" s="7">
        <v>30</v>
      </c>
      <c r="C36" s="5">
        <v>660</v>
      </c>
      <c r="D36" s="6">
        <v>0</v>
      </c>
    </row>
    <row r="37" spans="1:4" ht="22.5" x14ac:dyDescent="0.25">
      <c r="A37" s="3" t="s">
        <v>4</v>
      </c>
      <c r="B37" s="7">
        <v>30</v>
      </c>
      <c r="C37" s="5">
        <v>700</v>
      </c>
      <c r="D37" s="6">
        <v>0</v>
      </c>
    </row>
    <row r="38" spans="1:4" ht="22.5" x14ac:dyDescent="0.25">
      <c r="A38" s="3" t="s">
        <v>4</v>
      </c>
      <c r="B38" s="7">
        <v>30</v>
      </c>
      <c r="C38" s="11">
        <v>740</v>
      </c>
      <c r="D38" s="10">
        <v>13539.95</v>
      </c>
    </row>
    <row r="39" spans="1:4" ht="22.5" x14ac:dyDescent="0.25">
      <c r="A39" s="3" t="s">
        <v>4</v>
      </c>
      <c r="B39" s="7">
        <v>30</v>
      </c>
      <c r="C39" s="9">
        <v>760</v>
      </c>
      <c r="D39" s="6">
        <v>8342.2999999999993</v>
      </c>
    </row>
    <row r="40" spans="1:4" ht="22.5" x14ac:dyDescent="0.25">
      <c r="A40" s="3" t="s">
        <v>4</v>
      </c>
      <c r="B40" s="7">
        <v>30</v>
      </c>
      <c r="C40" s="5">
        <v>800</v>
      </c>
      <c r="D40" s="6">
        <v>0</v>
      </c>
    </row>
    <row r="41" spans="1:4" ht="22.5" x14ac:dyDescent="0.25">
      <c r="A41" s="3" t="s">
        <v>4</v>
      </c>
      <c r="B41" s="7">
        <v>30</v>
      </c>
      <c r="C41" s="9">
        <v>815</v>
      </c>
      <c r="D41" s="6">
        <v>5424.74</v>
      </c>
    </row>
    <row r="42" spans="1:4" ht="22.5" x14ac:dyDescent="0.25">
      <c r="A42" s="3" t="s">
        <v>4</v>
      </c>
      <c r="B42" s="7">
        <v>30</v>
      </c>
      <c r="C42" s="5">
        <v>860</v>
      </c>
      <c r="D42" s="6">
        <v>0</v>
      </c>
    </row>
    <row r="43" spans="1:4" ht="22.5" x14ac:dyDescent="0.25">
      <c r="A43" s="3" t="s">
        <v>4</v>
      </c>
      <c r="B43" s="7">
        <v>30</v>
      </c>
      <c r="C43" s="9">
        <v>870</v>
      </c>
      <c r="D43" s="6">
        <v>1914.84</v>
      </c>
    </row>
    <row r="44" spans="1:4" ht="22.5" x14ac:dyDescent="0.25">
      <c r="A44" s="3" t="s">
        <v>4</v>
      </c>
      <c r="B44" s="7">
        <v>35</v>
      </c>
      <c r="C44" s="5">
        <v>500</v>
      </c>
      <c r="D44" s="6">
        <v>0</v>
      </c>
    </row>
    <row r="45" spans="1:4" ht="22.5" x14ac:dyDescent="0.25">
      <c r="A45" s="3" t="s">
        <v>4</v>
      </c>
      <c r="B45" s="7">
        <v>35</v>
      </c>
      <c r="C45" s="5">
        <v>660</v>
      </c>
      <c r="D45" s="6">
        <v>0</v>
      </c>
    </row>
    <row r="46" spans="1:4" ht="22.5" x14ac:dyDescent="0.25">
      <c r="A46" s="3" t="s">
        <v>4</v>
      </c>
      <c r="B46" s="7">
        <v>35</v>
      </c>
      <c r="C46" s="9">
        <v>680</v>
      </c>
      <c r="D46" s="6">
        <v>3848</v>
      </c>
    </row>
    <row r="47" spans="1:4" ht="22.5" x14ac:dyDescent="0.25">
      <c r="A47" s="3" t="s">
        <v>4</v>
      </c>
      <c r="B47" s="7">
        <v>35</v>
      </c>
      <c r="C47" s="5">
        <v>700</v>
      </c>
      <c r="D47" s="6">
        <v>4118.97</v>
      </c>
    </row>
    <row r="48" spans="1:4" ht="22.5" x14ac:dyDescent="0.25">
      <c r="A48" s="3" t="s">
        <v>4</v>
      </c>
      <c r="B48" s="7">
        <v>35</v>
      </c>
      <c r="C48" s="12">
        <v>700</v>
      </c>
      <c r="D48" s="6">
        <v>948.48</v>
      </c>
    </row>
    <row r="49" spans="1:4" ht="22.5" x14ac:dyDescent="0.25">
      <c r="A49" s="54" t="s">
        <v>4</v>
      </c>
      <c r="B49" s="4">
        <v>40</v>
      </c>
      <c r="C49" s="5">
        <v>1000</v>
      </c>
      <c r="D49" s="6">
        <v>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activeCell="A17" sqref="A17:B17"/>
    </sheetView>
  </sheetViews>
  <sheetFormatPr baseColWidth="10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7" t="s">
        <v>5</v>
      </c>
      <c r="B2" s="18">
        <v>20</v>
      </c>
      <c r="C2" s="13">
        <v>470</v>
      </c>
      <c r="D2" s="14">
        <v>54</v>
      </c>
    </row>
    <row r="3" spans="1:4" x14ac:dyDescent="0.25">
      <c r="A3" s="17" t="s">
        <v>5</v>
      </c>
      <c r="B3" s="18">
        <v>20</v>
      </c>
      <c r="C3" s="13">
        <v>580</v>
      </c>
      <c r="D3" s="14">
        <v>0</v>
      </c>
    </row>
    <row r="4" spans="1:4" x14ac:dyDescent="0.25">
      <c r="A4" s="17" t="s">
        <v>5</v>
      </c>
      <c r="B4" s="18">
        <v>20</v>
      </c>
      <c r="C4" s="9">
        <v>590</v>
      </c>
      <c r="D4" s="14">
        <v>1543.25</v>
      </c>
    </row>
    <row r="5" spans="1:4" x14ac:dyDescent="0.25">
      <c r="A5" s="17" t="s">
        <v>5</v>
      </c>
      <c r="B5" s="18">
        <v>20</v>
      </c>
      <c r="C5" s="13">
        <v>630</v>
      </c>
      <c r="D5" s="14">
        <v>0</v>
      </c>
    </row>
    <row r="6" spans="1:4" x14ac:dyDescent="0.25">
      <c r="A6" s="17" t="s">
        <v>5</v>
      </c>
      <c r="B6" s="18">
        <v>20</v>
      </c>
      <c r="C6" s="13">
        <v>640</v>
      </c>
      <c r="D6" s="14">
        <v>0</v>
      </c>
    </row>
    <row r="7" spans="1:4" x14ac:dyDescent="0.25">
      <c r="A7" s="17" t="s">
        <v>5</v>
      </c>
      <c r="B7" s="18">
        <v>20</v>
      </c>
      <c r="C7" s="13">
        <v>660</v>
      </c>
      <c r="D7" s="14">
        <v>0</v>
      </c>
    </row>
    <row r="8" spans="1:4" x14ac:dyDescent="0.25">
      <c r="A8" s="17" t="s">
        <v>5</v>
      </c>
      <c r="B8" s="18">
        <v>20</v>
      </c>
      <c r="C8" s="9">
        <v>680</v>
      </c>
      <c r="D8" s="14">
        <v>1913.84</v>
      </c>
    </row>
    <row r="9" spans="1:4" x14ac:dyDescent="0.25">
      <c r="A9" s="17" t="s">
        <v>5</v>
      </c>
      <c r="B9" s="18">
        <v>20</v>
      </c>
      <c r="C9" s="13">
        <v>700</v>
      </c>
      <c r="D9" s="14">
        <v>184</v>
      </c>
    </row>
    <row r="10" spans="1:4" x14ac:dyDescent="0.25">
      <c r="A10" s="17" t="s">
        <v>5</v>
      </c>
      <c r="B10" s="18">
        <v>20</v>
      </c>
      <c r="C10" s="9">
        <v>700</v>
      </c>
      <c r="D10" s="14">
        <v>1984.24</v>
      </c>
    </row>
    <row r="11" spans="1:4" x14ac:dyDescent="0.25">
      <c r="A11" s="17" t="s">
        <v>5</v>
      </c>
      <c r="B11" s="18">
        <v>20</v>
      </c>
      <c r="C11" s="9">
        <v>740</v>
      </c>
      <c r="D11" s="14">
        <v>10622.9</v>
      </c>
    </row>
    <row r="12" spans="1:4" x14ac:dyDescent="0.25">
      <c r="A12" s="17" t="s">
        <v>5</v>
      </c>
      <c r="B12" s="18">
        <v>20</v>
      </c>
      <c r="C12" s="13">
        <v>755</v>
      </c>
      <c r="D12" s="14">
        <v>0</v>
      </c>
    </row>
    <row r="13" spans="1:4" x14ac:dyDescent="0.25">
      <c r="A13" s="17" t="s">
        <v>5</v>
      </c>
      <c r="B13" s="18">
        <v>20</v>
      </c>
      <c r="C13" s="13">
        <v>800</v>
      </c>
      <c r="D13" s="14">
        <v>0</v>
      </c>
    </row>
    <row r="14" spans="1:4" x14ac:dyDescent="0.25">
      <c r="A14" s="17" t="s">
        <v>5</v>
      </c>
      <c r="B14" s="18">
        <v>20</v>
      </c>
      <c r="C14" s="13">
        <v>815</v>
      </c>
      <c r="D14" s="14">
        <v>391.34</v>
      </c>
    </row>
    <row r="15" spans="1:4" x14ac:dyDescent="0.25">
      <c r="A15" s="17" t="s">
        <v>5</v>
      </c>
      <c r="B15" s="18">
        <v>20</v>
      </c>
      <c r="C15" s="9">
        <v>815</v>
      </c>
      <c r="D15" s="14">
        <v>10533.92</v>
      </c>
    </row>
    <row r="16" spans="1:4" x14ac:dyDescent="0.25">
      <c r="A16" s="17" t="s">
        <v>5</v>
      </c>
      <c r="B16" s="15">
        <v>25</v>
      </c>
      <c r="C16" s="13">
        <v>740</v>
      </c>
      <c r="D16" s="14">
        <v>1166.02</v>
      </c>
    </row>
    <row r="17" spans="1:4" x14ac:dyDescent="0.25">
      <c r="A17" s="59" t="s">
        <v>5</v>
      </c>
      <c r="B17" s="60">
        <v>30</v>
      </c>
      <c r="C17" s="16">
        <v>880</v>
      </c>
      <c r="D17" s="14">
        <v>180.8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workbookViewId="0">
      <selection activeCell="D14" sqref="D14"/>
    </sheetView>
  </sheetViews>
  <sheetFormatPr baseColWidth="10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4" t="s">
        <v>6</v>
      </c>
      <c r="B2" s="19">
        <v>17</v>
      </c>
      <c r="C2" s="20">
        <v>620</v>
      </c>
      <c r="D2" s="21">
        <v>498</v>
      </c>
    </row>
    <row r="3" spans="1:4" x14ac:dyDescent="0.25">
      <c r="A3" s="24" t="s">
        <v>6</v>
      </c>
      <c r="B3" s="25">
        <v>20</v>
      </c>
      <c r="C3" s="12">
        <v>460</v>
      </c>
      <c r="D3" s="21">
        <v>3440.26</v>
      </c>
    </row>
    <row r="4" spans="1:4" x14ac:dyDescent="0.25">
      <c r="A4" s="24" t="s">
        <v>6</v>
      </c>
      <c r="B4" s="25">
        <v>20</v>
      </c>
      <c r="C4" s="20">
        <v>610</v>
      </c>
      <c r="D4" s="21">
        <v>108</v>
      </c>
    </row>
    <row r="5" spans="1:4" x14ac:dyDescent="0.25">
      <c r="A5" s="24" t="s">
        <v>6</v>
      </c>
      <c r="B5" s="25">
        <v>20</v>
      </c>
      <c r="C5" s="20">
        <v>620</v>
      </c>
      <c r="D5" s="22">
        <v>250.6</v>
      </c>
    </row>
    <row r="6" spans="1:4" x14ac:dyDescent="0.25">
      <c r="A6" s="24" t="s">
        <v>6</v>
      </c>
      <c r="B6" s="25">
        <v>20</v>
      </c>
      <c r="C6" s="20">
        <v>630</v>
      </c>
      <c r="D6" s="21">
        <v>0</v>
      </c>
    </row>
    <row r="7" spans="1:4" x14ac:dyDescent="0.25">
      <c r="A7" s="24" t="s">
        <v>6</v>
      </c>
      <c r="B7" s="25">
        <v>20</v>
      </c>
      <c r="C7" s="12">
        <v>635</v>
      </c>
      <c r="D7" s="23">
        <v>2776.7</v>
      </c>
    </row>
    <row r="8" spans="1:4" x14ac:dyDescent="0.25">
      <c r="A8" s="24" t="s">
        <v>6</v>
      </c>
      <c r="B8" s="25">
        <v>20</v>
      </c>
      <c r="C8" s="20">
        <v>660</v>
      </c>
      <c r="D8" s="21">
        <v>0</v>
      </c>
    </row>
    <row r="9" spans="1:4" x14ac:dyDescent="0.25">
      <c r="A9" s="24" t="s">
        <v>6</v>
      </c>
      <c r="B9" s="25">
        <v>20</v>
      </c>
      <c r="C9" s="20">
        <v>680</v>
      </c>
      <c r="D9" s="21">
        <v>0</v>
      </c>
    </row>
    <row r="10" spans="1:4" x14ac:dyDescent="0.25">
      <c r="A10" s="24" t="s">
        <v>6</v>
      </c>
      <c r="B10" s="25">
        <v>20</v>
      </c>
      <c r="C10" s="20">
        <v>700</v>
      </c>
      <c r="D10" s="21">
        <v>0</v>
      </c>
    </row>
    <row r="11" spans="1:4" x14ac:dyDescent="0.25">
      <c r="A11" s="24" t="s">
        <v>6</v>
      </c>
      <c r="B11" s="25">
        <v>20</v>
      </c>
      <c r="C11" s="20">
        <v>720</v>
      </c>
      <c r="D11" s="21">
        <v>1634</v>
      </c>
    </row>
    <row r="12" spans="1:4" x14ac:dyDescent="0.25">
      <c r="A12" s="24" t="s">
        <v>6</v>
      </c>
      <c r="B12" s="25">
        <v>20</v>
      </c>
      <c r="C12" s="20">
        <v>740</v>
      </c>
      <c r="D12" s="21">
        <v>0</v>
      </c>
    </row>
    <row r="13" spans="1:4" x14ac:dyDescent="0.25">
      <c r="A13" s="24" t="s">
        <v>6</v>
      </c>
      <c r="B13" s="25">
        <v>20</v>
      </c>
      <c r="C13" s="20">
        <v>760</v>
      </c>
      <c r="D13" s="21">
        <v>0</v>
      </c>
    </row>
    <row r="14" spans="1:4" x14ac:dyDescent="0.25">
      <c r="A14" s="24" t="s">
        <v>6</v>
      </c>
      <c r="B14" s="25">
        <v>20</v>
      </c>
      <c r="C14" s="20">
        <v>768</v>
      </c>
      <c r="D14" s="21">
        <v>583.57000000000005</v>
      </c>
    </row>
    <row r="15" spans="1:4" x14ac:dyDescent="0.25">
      <c r="A15" s="24" t="s">
        <v>6</v>
      </c>
      <c r="B15" s="25">
        <v>20</v>
      </c>
      <c r="C15" s="20">
        <v>770</v>
      </c>
      <c r="D15" s="21">
        <v>0</v>
      </c>
    </row>
    <row r="16" spans="1:4" x14ac:dyDescent="0.25">
      <c r="A16" s="24" t="s">
        <v>6</v>
      </c>
      <c r="B16" s="25">
        <v>20</v>
      </c>
      <c r="C16" s="20">
        <v>780</v>
      </c>
      <c r="D16" s="21">
        <v>0</v>
      </c>
    </row>
    <row r="17" spans="1:4" x14ac:dyDescent="0.25">
      <c r="A17" s="24" t="s">
        <v>6</v>
      </c>
      <c r="B17" s="25">
        <v>20</v>
      </c>
      <c r="C17" s="20">
        <v>800</v>
      </c>
      <c r="D17" s="21">
        <v>0</v>
      </c>
    </row>
    <row r="18" spans="1:4" x14ac:dyDescent="0.25">
      <c r="A18" s="24" t="s">
        <v>6</v>
      </c>
      <c r="B18" s="25">
        <v>20</v>
      </c>
      <c r="C18" s="20">
        <v>805</v>
      </c>
      <c r="D18" s="21">
        <v>0</v>
      </c>
    </row>
    <row r="19" spans="1:4" x14ac:dyDescent="0.25">
      <c r="A19" s="24" t="s">
        <v>6</v>
      </c>
      <c r="B19" s="25">
        <v>20</v>
      </c>
      <c r="C19" s="12">
        <v>815</v>
      </c>
      <c r="D19" s="23">
        <v>7904.22</v>
      </c>
    </row>
    <row r="20" spans="1:4" x14ac:dyDescent="0.25">
      <c r="A20" s="24" t="s">
        <v>6</v>
      </c>
      <c r="B20" s="25">
        <v>20</v>
      </c>
      <c r="C20" s="20">
        <v>815</v>
      </c>
      <c r="D20" s="21">
        <v>0</v>
      </c>
    </row>
    <row r="21" spans="1:4" x14ac:dyDescent="0.25">
      <c r="A21" s="24" t="s">
        <v>6</v>
      </c>
      <c r="B21" s="25">
        <v>20</v>
      </c>
      <c r="C21" s="20">
        <v>850</v>
      </c>
      <c r="D21" s="23">
        <v>429.06</v>
      </c>
    </row>
    <row r="22" spans="1:4" x14ac:dyDescent="0.25">
      <c r="A22" s="24" t="s">
        <v>6</v>
      </c>
      <c r="B22" s="25">
        <v>20</v>
      </c>
      <c r="C22" s="20">
        <v>880</v>
      </c>
      <c r="D22" s="21">
        <v>447.68</v>
      </c>
    </row>
    <row r="23" spans="1:4" x14ac:dyDescent="0.25">
      <c r="A23" s="24" t="s">
        <v>6</v>
      </c>
      <c r="B23" s="19">
        <v>25</v>
      </c>
      <c r="C23" s="20">
        <v>740</v>
      </c>
      <c r="D23" s="21">
        <v>21</v>
      </c>
    </row>
    <row r="24" spans="1:4" x14ac:dyDescent="0.25">
      <c r="A24" s="24" t="s">
        <v>6</v>
      </c>
      <c r="B24" s="25">
        <v>30</v>
      </c>
      <c r="C24" s="20">
        <v>460</v>
      </c>
      <c r="D24" s="21">
        <v>340.32</v>
      </c>
    </row>
    <row r="25" spans="1:4" x14ac:dyDescent="0.25">
      <c r="A25" s="24" t="s">
        <v>6</v>
      </c>
      <c r="B25" s="25">
        <v>30</v>
      </c>
      <c r="C25" s="20">
        <v>510</v>
      </c>
      <c r="D25" s="21">
        <v>17</v>
      </c>
    </row>
    <row r="26" spans="1:4" x14ac:dyDescent="0.25">
      <c r="A26" s="24" t="s">
        <v>6</v>
      </c>
      <c r="B26" s="25">
        <v>30</v>
      </c>
      <c r="C26" s="20">
        <v>590</v>
      </c>
      <c r="D26" s="21">
        <v>0</v>
      </c>
    </row>
    <row r="27" spans="1:4" x14ac:dyDescent="0.25">
      <c r="A27" s="24" t="s">
        <v>6</v>
      </c>
      <c r="B27" s="25">
        <v>30</v>
      </c>
      <c r="C27" s="20">
        <v>640</v>
      </c>
      <c r="D27" s="21">
        <v>0</v>
      </c>
    </row>
    <row r="28" spans="1:4" x14ac:dyDescent="0.25">
      <c r="A28" s="24" t="s">
        <v>6</v>
      </c>
      <c r="B28" s="25">
        <v>30</v>
      </c>
      <c r="C28" s="20">
        <v>700</v>
      </c>
      <c r="D28" s="21">
        <v>357</v>
      </c>
    </row>
    <row r="29" spans="1:4" x14ac:dyDescent="0.25">
      <c r="A29" s="24" t="s">
        <v>6</v>
      </c>
      <c r="B29" s="25">
        <v>30</v>
      </c>
      <c r="C29" s="12">
        <v>700</v>
      </c>
      <c r="D29" s="21">
        <v>354.92</v>
      </c>
    </row>
    <row r="30" spans="1:4" x14ac:dyDescent="0.25">
      <c r="A30" s="24" t="s">
        <v>6</v>
      </c>
      <c r="B30" s="25">
        <v>30</v>
      </c>
      <c r="C30" s="20">
        <v>755</v>
      </c>
      <c r="D30" s="21">
        <v>0</v>
      </c>
    </row>
    <row r="31" spans="1:4" x14ac:dyDescent="0.25">
      <c r="A31" s="24" t="s">
        <v>6</v>
      </c>
      <c r="B31" s="25">
        <v>30</v>
      </c>
      <c r="C31" s="20">
        <v>815</v>
      </c>
      <c r="D31" s="21">
        <v>0</v>
      </c>
    </row>
    <row r="32" spans="1:4" x14ac:dyDescent="0.25">
      <c r="A32" s="26" t="s">
        <v>6</v>
      </c>
      <c r="B32" s="27">
        <v>30</v>
      </c>
      <c r="C32" s="12">
        <v>815</v>
      </c>
      <c r="D32" s="21">
        <v>12618.69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A6" sqref="A6:B6"/>
    </sheetView>
  </sheetViews>
  <sheetFormatPr baseColWidth="10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5" t="s">
        <v>7</v>
      </c>
      <c r="B2" s="29">
        <v>25</v>
      </c>
      <c r="C2" s="28">
        <v>430</v>
      </c>
      <c r="D2" s="21">
        <f>705.6+172.2</f>
        <v>877.8</v>
      </c>
    </row>
    <row r="3" spans="1:4" x14ac:dyDescent="0.25">
      <c r="A3" s="25" t="s">
        <v>7</v>
      </c>
      <c r="B3" s="29">
        <v>25</v>
      </c>
      <c r="C3" s="28">
        <v>490</v>
      </c>
      <c r="D3" s="21">
        <v>2832.8</v>
      </c>
    </row>
    <row r="4" spans="1:4" x14ac:dyDescent="0.25">
      <c r="A4" s="25" t="s">
        <v>7</v>
      </c>
      <c r="B4" s="29">
        <v>25</v>
      </c>
      <c r="C4" s="9">
        <v>490</v>
      </c>
      <c r="D4" s="21">
        <v>5569.45</v>
      </c>
    </row>
    <row r="5" spans="1:4" x14ac:dyDescent="0.25">
      <c r="A5" s="25" t="s">
        <v>7</v>
      </c>
      <c r="B5" s="29">
        <v>25</v>
      </c>
      <c r="C5" s="28">
        <v>620</v>
      </c>
      <c r="D5" s="21">
        <v>0</v>
      </c>
    </row>
    <row r="6" spans="1:4" x14ac:dyDescent="0.25">
      <c r="A6" s="27" t="s">
        <v>7</v>
      </c>
      <c r="B6" s="58">
        <v>25</v>
      </c>
      <c r="C6" s="9">
        <v>620</v>
      </c>
      <c r="D6" s="21">
        <v>298.39999999999998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A3" sqref="A3:B3"/>
    </sheetView>
  </sheetViews>
  <sheetFormatPr baseColWidth="10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2" t="s">
        <v>8</v>
      </c>
      <c r="B2" s="33">
        <v>30</v>
      </c>
      <c r="C2" s="30">
        <v>740</v>
      </c>
      <c r="D2" s="31">
        <v>602.77</v>
      </c>
    </row>
    <row r="3" spans="1:4" x14ac:dyDescent="0.25">
      <c r="A3" s="56" t="s">
        <v>8</v>
      </c>
      <c r="B3" s="57">
        <v>30</v>
      </c>
      <c r="C3" s="30">
        <v>900</v>
      </c>
      <c r="D3" s="31">
        <v>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opLeftCell="A4" workbookViewId="0">
      <selection activeCell="B26" sqref="B26"/>
    </sheetView>
  </sheetViews>
  <sheetFormatPr baseColWidth="10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9" t="s">
        <v>9</v>
      </c>
      <c r="B2" s="34">
        <v>20</v>
      </c>
      <c r="C2" s="35">
        <v>580</v>
      </c>
      <c r="D2" s="36">
        <v>0</v>
      </c>
    </row>
    <row r="3" spans="1:4" x14ac:dyDescent="0.25">
      <c r="A3" s="39" t="s">
        <v>9</v>
      </c>
      <c r="B3" s="40">
        <v>25</v>
      </c>
      <c r="C3" s="35">
        <v>430</v>
      </c>
      <c r="D3" s="36">
        <v>800.4</v>
      </c>
    </row>
    <row r="4" spans="1:4" x14ac:dyDescent="0.25">
      <c r="A4" s="39" t="s">
        <v>9</v>
      </c>
      <c r="B4" s="40">
        <v>25</v>
      </c>
      <c r="C4" s="12">
        <v>490</v>
      </c>
      <c r="D4" s="36">
        <v>5618.55</v>
      </c>
    </row>
    <row r="5" spans="1:4" x14ac:dyDescent="0.25">
      <c r="A5" s="39" t="s">
        <v>9</v>
      </c>
      <c r="B5" s="40">
        <v>25</v>
      </c>
      <c r="C5" s="35">
        <v>490</v>
      </c>
      <c r="D5" s="36">
        <v>1051.8</v>
      </c>
    </row>
    <row r="6" spans="1:4" x14ac:dyDescent="0.25">
      <c r="A6" s="39" t="s">
        <v>9</v>
      </c>
      <c r="B6" s="40">
        <v>25</v>
      </c>
      <c r="C6" s="35">
        <v>560</v>
      </c>
      <c r="D6" s="36">
        <v>52.05</v>
      </c>
    </row>
    <row r="7" spans="1:4" x14ac:dyDescent="0.25">
      <c r="A7" s="39" t="s">
        <v>9</v>
      </c>
      <c r="B7" s="40">
        <v>25</v>
      </c>
      <c r="C7" s="12">
        <v>560</v>
      </c>
      <c r="D7" s="36">
        <v>3231.5</v>
      </c>
    </row>
    <row r="8" spans="1:4" x14ac:dyDescent="0.25">
      <c r="A8" s="39" t="s">
        <v>9</v>
      </c>
      <c r="B8" s="40">
        <v>25</v>
      </c>
      <c r="C8" s="35">
        <v>620</v>
      </c>
      <c r="D8" s="36">
        <v>0</v>
      </c>
    </row>
    <row r="9" spans="1:4" x14ac:dyDescent="0.25">
      <c r="A9" s="39" t="s">
        <v>9</v>
      </c>
      <c r="B9" s="40">
        <v>25</v>
      </c>
      <c r="C9" s="12">
        <v>620</v>
      </c>
      <c r="D9" s="36">
        <v>0</v>
      </c>
    </row>
    <row r="10" spans="1:4" x14ac:dyDescent="0.25">
      <c r="A10" s="39" t="s">
        <v>9</v>
      </c>
      <c r="B10" s="40">
        <v>25</v>
      </c>
      <c r="C10" s="35">
        <v>680</v>
      </c>
      <c r="D10" s="36">
        <v>0</v>
      </c>
    </row>
    <row r="11" spans="1:4" x14ac:dyDescent="0.25">
      <c r="A11" s="39" t="s">
        <v>9</v>
      </c>
      <c r="B11" s="40">
        <v>25</v>
      </c>
      <c r="C11" s="12">
        <v>680</v>
      </c>
      <c r="D11" s="36">
        <v>2459.2800000000002</v>
      </c>
    </row>
    <row r="12" spans="1:4" x14ac:dyDescent="0.25">
      <c r="A12" s="39" t="s">
        <v>9</v>
      </c>
      <c r="B12" s="40">
        <v>25</v>
      </c>
      <c r="C12" s="35">
        <v>700</v>
      </c>
      <c r="D12" s="36">
        <v>1225.3</v>
      </c>
    </row>
    <row r="13" spans="1:4" x14ac:dyDescent="0.25">
      <c r="A13" s="39" t="s">
        <v>9</v>
      </c>
      <c r="B13" s="40">
        <v>25</v>
      </c>
      <c r="C13" s="12">
        <v>700</v>
      </c>
      <c r="D13" s="36">
        <v>4710.3999999999996</v>
      </c>
    </row>
    <row r="14" spans="1:4" x14ac:dyDescent="0.25">
      <c r="A14" s="39" t="s">
        <v>9</v>
      </c>
      <c r="B14" s="40">
        <v>25</v>
      </c>
      <c r="C14" s="12">
        <v>740</v>
      </c>
      <c r="D14" s="36">
        <v>9765.3799999999992</v>
      </c>
    </row>
    <row r="15" spans="1:4" x14ac:dyDescent="0.25">
      <c r="A15" s="39" t="s">
        <v>9</v>
      </c>
      <c r="B15" s="40">
        <v>25</v>
      </c>
      <c r="C15" s="35">
        <v>760</v>
      </c>
      <c r="D15" s="36">
        <v>0</v>
      </c>
    </row>
    <row r="16" spans="1:4" x14ac:dyDescent="0.25">
      <c r="A16" s="39" t="s">
        <v>9</v>
      </c>
      <c r="B16" s="41">
        <v>30</v>
      </c>
      <c r="C16" s="35">
        <v>430</v>
      </c>
      <c r="D16" s="36">
        <f>639.4+617.4</f>
        <v>1256.8</v>
      </c>
    </row>
    <row r="17" spans="1:4" x14ac:dyDescent="0.25">
      <c r="A17" s="39" t="s">
        <v>9</v>
      </c>
      <c r="B17" s="41">
        <v>30</v>
      </c>
      <c r="C17" s="35">
        <v>600</v>
      </c>
      <c r="D17" s="36">
        <v>170</v>
      </c>
    </row>
    <row r="18" spans="1:4" x14ac:dyDescent="0.25">
      <c r="A18" s="39" t="s">
        <v>9</v>
      </c>
      <c r="B18" s="41">
        <v>30</v>
      </c>
      <c r="C18" s="35">
        <v>660</v>
      </c>
      <c r="D18" s="36">
        <v>0</v>
      </c>
    </row>
    <row r="19" spans="1:4" x14ac:dyDescent="0.25">
      <c r="A19" s="39" t="s">
        <v>9</v>
      </c>
      <c r="B19" s="41">
        <v>30</v>
      </c>
      <c r="C19" s="12">
        <v>680</v>
      </c>
      <c r="D19" s="36">
        <v>3190.16</v>
      </c>
    </row>
    <row r="20" spans="1:4" x14ac:dyDescent="0.25">
      <c r="A20" s="39" t="s">
        <v>9</v>
      </c>
      <c r="B20" s="41">
        <v>30</v>
      </c>
      <c r="C20" s="35">
        <v>700</v>
      </c>
      <c r="D20" s="36">
        <v>3400.3</v>
      </c>
    </row>
    <row r="21" spans="1:4" x14ac:dyDescent="0.25">
      <c r="A21" s="39" t="s">
        <v>9</v>
      </c>
      <c r="B21" s="41">
        <v>30</v>
      </c>
      <c r="C21" s="12">
        <v>700</v>
      </c>
      <c r="D21" s="36">
        <v>6453.36</v>
      </c>
    </row>
    <row r="22" spans="1:4" x14ac:dyDescent="0.25">
      <c r="A22" s="39" t="s">
        <v>9</v>
      </c>
      <c r="B22" s="41">
        <v>30</v>
      </c>
      <c r="C22" s="12">
        <v>740</v>
      </c>
      <c r="D22" s="36">
        <v>4298.8999999999996</v>
      </c>
    </row>
    <row r="23" spans="1:4" x14ac:dyDescent="0.25">
      <c r="A23" s="39" t="s">
        <v>9</v>
      </c>
      <c r="B23" s="37">
        <v>35</v>
      </c>
      <c r="C23" s="35">
        <v>740</v>
      </c>
      <c r="D23" s="36">
        <v>1827.33</v>
      </c>
    </row>
    <row r="24" spans="1:4" x14ac:dyDescent="0.25">
      <c r="A24" s="55" t="s">
        <v>9</v>
      </c>
      <c r="B24" s="38">
        <v>40</v>
      </c>
      <c r="C24" s="12">
        <v>740</v>
      </c>
      <c r="D24" s="36">
        <v>10118.75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topLeftCell="A16" workbookViewId="0">
      <selection activeCell="A42" sqref="A42:B42"/>
    </sheetView>
  </sheetViews>
  <sheetFormatPr baseColWidth="10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48" t="s">
        <v>10</v>
      </c>
      <c r="B2" s="42">
        <v>20</v>
      </c>
      <c r="C2" s="43">
        <v>760</v>
      </c>
      <c r="D2" s="6">
        <v>369</v>
      </c>
    </row>
    <row r="3" spans="1:4" x14ac:dyDescent="0.25">
      <c r="A3" s="48" t="s">
        <v>10</v>
      </c>
      <c r="B3" s="3">
        <v>26</v>
      </c>
      <c r="C3" s="43">
        <v>630</v>
      </c>
      <c r="D3" s="44">
        <v>9171.5</v>
      </c>
    </row>
    <row r="4" spans="1:4" x14ac:dyDescent="0.25">
      <c r="A4" s="48" t="s">
        <v>10</v>
      </c>
      <c r="B4" s="3">
        <v>26</v>
      </c>
      <c r="C4" s="43">
        <v>650</v>
      </c>
      <c r="D4" s="6">
        <v>60</v>
      </c>
    </row>
    <row r="5" spans="1:4" x14ac:dyDescent="0.25">
      <c r="A5" s="48" t="s">
        <v>10</v>
      </c>
      <c r="B5" s="3">
        <v>26</v>
      </c>
      <c r="C5" s="43">
        <v>660</v>
      </c>
      <c r="D5" s="6">
        <v>996.5</v>
      </c>
    </row>
    <row r="6" spans="1:4" x14ac:dyDescent="0.25">
      <c r="A6" s="48" t="s">
        <v>10</v>
      </c>
      <c r="B6" s="3">
        <v>26</v>
      </c>
      <c r="C6" s="43">
        <v>970</v>
      </c>
      <c r="D6" s="6">
        <v>223</v>
      </c>
    </row>
    <row r="7" spans="1:4" x14ac:dyDescent="0.25">
      <c r="A7" s="48" t="s">
        <v>10</v>
      </c>
      <c r="B7" s="3">
        <v>28</v>
      </c>
      <c r="C7" s="43">
        <v>660</v>
      </c>
      <c r="D7" s="6">
        <v>0</v>
      </c>
    </row>
    <row r="8" spans="1:4" x14ac:dyDescent="0.25">
      <c r="A8" s="48" t="s">
        <v>10</v>
      </c>
      <c r="B8" s="3">
        <v>28</v>
      </c>
      <c r="C8" s="43">
        <v>670</v>
      </c>
      <c r="D8" s="6">
        <v>668</v>
      </c>
    </row>
    <row r="9" spans="1:4" x14ac:dyDescent="0.25">
      <c r="A9" s="48" t="s">
        <v>10</v>
      </c>
      <c r="B9" s="3">
        <v>28</v>
      </c>
      <c r="C9" s="43">
        <v>690</v>
      </c>
      <c r="D9" s="6">
        <v>0</v>
      </c>
    </row>
    <row r="10" spans="1:4" x14ac:dyDescent="0.25">
      <c r="A10" s="48" t="s">
        <v>10</v>
      </c>
      <c r="B10" s="3">
        <v>28</v>
      </c>
      <c r="C10" s="43">
        <v>740</v>
      </c>
      <c r="D10" s="6">
        <v>510</v>
      </c>
    </row>
    <row r="11" spans="1:4" x14ac:dyDescent="0.25">
      <c r="A11" s="48" t="s">
        <v>10</v>
      </c>
      <c r="B11" s="3">
        <v>28</v>
      </c>
      <c r="C11" s="43">
        <v>760</v>
      </c>
      <c r="D11" s="6">
        <v>1813</v>
      </c>
    </row>
    <row r="12" spans="1:4" x14ac:dyDescent="0.25">
      <c r="A12" s="48" t="s">
        <v>10</v>
      </c>
      <c r="B12" s="3">
        <v>30</v>
      </c>
      <c r="C12" s="43">
        <v>570</v>
      </c>
      <c r="D12" s="45">
        <v>0</v>
      </c>
    </row>
    <row r="13" spans="1:4" x14ac:dyDescent="0.25">
      <c r="A13" s="48" t="s">
        <v>10</v>
      </c>
      <c r="B13" s="3">
        <v>30</v>
      </c>
      <c r="C13" s="43">
        <v>690</v>
      </c>
      <c r="D13" s="45">
        <v>0</v>
      </c>
    </row>
    <row r="14" spans="1:4" x14ac:dyDescent="0.25">
      <c r="A14" s="48" t="s">
        <v>10</v>
      </c>
      <c r="B14" s="3">
        <v>30</v>
      </c>
      <c r="C14" s="43">
        <v>750</v>
      </c>
      <c r="D14" s="6">
        <v>58</v>
      </c>
    </row>
    <row r="15" spans="1:4" x14ac:dyDescent="0.25">
      <c r="A15" s="48" t="s">
        <v>10</v>
      </c>
      <c r="B15" s="3">
        <v>35</v>
      </c>
      <c r="C15" s="43">
        <v>650</v>
      </c>
      <c r="D15" s="6">
        <v>0</v>
      </c>
    </row>
    <row r="16" spans="1:4" x14ac:dyDescent="0.25">
      <c r="A16" s="48" t="s">
        <v>10</v>
      </c>
      <c r="B16" s="3">
        <v>35</v>
      </c>
      <c r="C16" s="43">
        <v>750</v>
      </c>
      <c r="D16" s="6">
        <v>0</v>
      </c>
    </row>
    <row r="17" spans="1:4" x14ac:dyDescent="0.25">
      <c r="A17" s="48" t="s">
        <v>10</v>
      </c>
      <c r="B17" s="3">
        <v>35</v>
      </c>
      <c r="C17" s="43">
        <v>770</v>
      </c>
      <c r="D17" s="6">
        <v>1114</v>
      </c>
    </row>
    <row r="18" spans="1:4" x14ac:dyDescent="0.25">
      <c r="A18" s="48" t="s">
        <v>10</v>
      </c>
      <c r="B18" s="3">
        <v>35</v>
      </c>
      <c r="C18" s="43">
        <v>990</v>
      </c>
      <c r="D18" s="6">
        <v>0</v>
      </c>
    </row>
    <row r="19" spans="1:4" x14ac:dyDescent="0.25">
      <c r="A19" s="48" t="s">
        <v>10</v>
      </c>
      <c r="B19" s="3">
        <v>40</v>
      </c>
      <c r="C19" s="43">
        <v>670</v>
      </c>
      <c r="D19" s="10">
        <v>189.5</v>
      </c>
    </row>
    <row r="20" spans="1:4" x14ac:dyDescent="0.25">
      <c r="A20" s="48" t="s">
        <v>10</v>
      </c>
      <c r="B20" s="3">
        <v>40</v>
      </c>
      <c r="C20" s="43">
        <v>770</v>
      </c>
      <c r="D20" s="6">
        <v>199</v>
      </c>
    </row>
    <row r="21" spans="1:4" x14ac:dyDescent="0.25">
      <c r="A21" s="48" t="s">
        <v>10</v>
      </c>
      <c r="B21" s="3">
        <v>40</v>
      </c>
      <c r="C21" s="43">
        <v>780</v>
      </c>
      <c r="D21" s="6">
        <v>0</v>
      </c>
    </row>
    <row r="22" spans="1:4" x14ac:dyDescent="0.25">
      <c r="A22" s="48" t="s">
        <v>10</v>
      </c>
      <c r="B22" s="46">
        <v>45</v>
      </c>
      <c r="C22" s="43">
        <v>690</v>
      </c>
      <c r="D22" s="6">
        <v>476.5</v>
      </c>
    </row>
    <row r="23" spans="1:4" x14ac:dyDescent="0.25">
      <c r="A23" s="48" t="s">
        <v>10</v>
      </c>
      <c r="B23" s="48">
        <v>50</v>
      </c>
      <c r="C23" s="43">
        <v>470</v>
      </c>
      <c r="D23" s="6">
        <v>937</v>
      </c>
    </row>
    <row r="24" spans="1:4" x14ac:dyDescent="0.25">
      <c r="A24" s="48" t="s">
        <v>10</v>
      </c>
      <c r="B24" s="48">
        <v>50</v>
      </c>
      <c r="C24" s="43">
        <v>630</v>
      </c>
      <c r="D24" s="6">
        <v>2818</v>
      </c>
    </row>
    <row r="25" spans="1:4" x14ac:dyDescent="0.25">
      <c r="A25" s="48" t="s">
        <v>10</v>
      </c>
      <c r="B25" s="48">
        <v>50</v>
      </c>
      <c r="C25" s="43">
        <v>660</v>
      </c>
      <c r="D25" s="6">
        <v>1541</v>
      </c>
    </row>
    <row r="26" spans="1:4" x14ac:dyDescent="0.25">
      <c r="A26" s="48" t="s">
        <v>10</v>
      </c>
      <c r="B26" s="48">
        <v>50</v>
      </c>
      <c r="C26" s="43">
        <v>670</v>
      </c>
      <c r="D26" s="6">
        <v>100.5</v>
      </c>
    </row>
    <row r="27" spans="1:4" x14ac:dyDescent="0.25">
      <c r="A27" s="48" t="s">
        <v>10</v>
      </c>
      <c r="B27" s="48">
        <v>50</v>
      </c>
      <c r="C27" s="43" t="s">
        <v>11</v>
      </c>
      <c r="D27" s="6">
        <v>1693</v>
      </c>
    </row>
    <row r="28" spans="1:4" x14ac:dyDescent="0.25">
      <c r="A28" s="48" t="s">
        <v>10</v>
      </c>
      <c r="B28" s="48">
        <v>50</v>
      </c>
      <c r="C28" s="43">
        <v>770</v>
      </c>
      <c r="D28" s="6">
        <v>65</v>
      </c>
    </row>
    <row r="29" spans="1:4" x14ac:dyDescent="0.25">
      <c r="A29" s="48" t="s">
        <v>10</v>
      </c>
      <c r="B29" s="3">
        <v>53</v>
      </c>
      <c r="C29" s="43">
        <v>670</v>
      </c>
      <c r="D29" s="6">
        <v>2962</v>
      </c>
    </row>
    <row r="30" spans="1:4" x14ac:dyDescent="0.25">
      <c r="A30" s="48" t="s">
        <v>10</v>
      </c>
      <c r="B30" s="3">
        <v>53</v>
      </c>
      <c r="C30" s="43">
        <v>690</v>
      </c>
      <c r="D30" s="6">
        <v>222</v>
      </c>
    </row>
    <row r="31" spans="1:4" x14ac:dyDescent="0.25">
      <c r="A31" s="48" t="s">
        <v>10</v>
      </c>
      <c r="B31" s="3">
        <v>55</v>
      </c>
      <c r="C31" s="43">
        <v>470</v>
      </c>
      <c r="D31" s="6">
        <v>492.5</v>
      </c>
    </row>
    <row r="32" spans="1:4" x14ac:dyDescent="0.25">
      <c r="A32" s="48" t="s">
        <v>10</v>
      </c>
      <c r="B32" s="3">
        <v>55</v>
      </c>
      <c r="C32" s="43">
        <v>680</v>
      </c>
      <c r="D32" s="6">
        <v>78</v>
      </c>
    </row>
    <row r="33" spans="1:4" x14ac:dyDescent="0.25">
      <c r="A33" s="48" t="s">
        <v>10</v>
      </c>
      <c r="B33" s="3">
        <v>55</v>
      </c>
      <c r="C33" s="43">
        <v>750</v>
      </c>
      <c r="D33" s="6">
        <v>961</v>
      </c>
    </row>
    <row r="34" spans="1:4" x14ac:dyDescent="0.25">
      <c r="A34" s="48" t="s">
        <v>10</v>
      </c>
      <c r="B34" s="3">
        <v>55</v>
      </c>
      <c r="C34" s="43">
        <v>790</v>
      </c>
      <c r="D34" s="6">
        <v>0</v>
      </c>
    </row>
    <row r="35" spans="1:4" x14ac:dyDescent="0.25">
      <c r="A35" s="48" t="s">
        <v>10</v>
      </c>
      <c r="B35" s="3">
        <v>58</v>
      </c>
      <c r="C35" s="43">
        <v>670</v>
      </c>
      <c r="D35" s="6">
        <v>664</v>
      </c>
    </row>
    <row r="36" spans="1:4" x14ac:dyDescent="0.25">
      <c r="A36" s="48" t="s">
        <v>10</v>
      </c>
      <c r="B36" s="3">
        <v>58</v>
      </c>
      <c r="C36" s="43">
        <v>720</v>
      </c>
      <c r="D36" s="6">
        <v>708.5</v>
      </c>
    </row>
    <row r="37" spans="1:4" x14ac:dyDescent="0.25">
      <c r="A37" s="48" t="s">
        <v>10</v>
      </c>
      <c r="B37" s="3">
        <v>60</v>
      </c>
      <c r="C37" s="43">
        <v>580</v>
      </c>
      <c r="D37" s="47">
        <v>243</v>
      </c>
    </row>
    <row r="38" spans="1:4" x14ac:dyDescent="0.25">
      <c r="A38" s="48" t="s">
        <v>10</v>
      </c>
      <c r="B38" s="3">
        <v>60</v>
      </c>
      <c r="C38" s="43">
        <v>670</v>
      </c>
      <c r="D38" s="47">
        <v>0</v>
      </c>
    </row>
    <row r="39" spans="1:4" x14ac:dyDescent="0.25">
      <c r="A39" s="48" t="s">
        <v>10</v>
      </c>
      <c r="B39" s="3">
        <v>60</v>
      </c>
      <c r="C39" s="43">
        <v>690</v>
      </c>
      <c r="D39" s="47">
        <v>0</v>
      </c>
    </row>
    <row r="40" spans="1:4" x14ac:dyDescent="0.25">
      <c r="A40" s="48" t="s">
        <v>10</v>
      </c>
      <c r="B40" s="3">
        <v>60</v>
      </c>
      <c r="C40" s="43">
        <v>750</v>
      </c>
      <c r="D40" s="47">
        <v>0</v>
      </c>
    </row>
    <row r="41" spans="1:4" x14ac:dyDescent="0.25">
      <c r="A41" s="48" t="s">
        <v>10</v>
      </c>
      <c r="B41" s="3">
        <v>70</v>
      </c>
      <c r="C41" s="43">
        <v>600</v>
      </c>
      <c r="D41" s="6">
        <v>0</v>
      </c>
    </row>
    <row r="42" spans="1:4" x14ac:dyDescent="0.25">
      <c r="A42" s="53" t="s">
        <v>10</v>
      </c>
      <c r="B42" s="54">
        <v>70</v>
      </c>
      <c r="C42" s="43">
        <v>720</v>
      </c>
      <c r="D42" s="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A8" sqref="A8"/>
    </sheetView>
  </sheetViews>
  <sheetFormatPr baseColWidth="10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50" t="s">
        <v>12</v>
      </c>
      <c r="B2" s="49">
        <v>25</v>
      </c>
      <c r="C2" s="30">
        <v>740</v>
      </c>
      <c r="D2" s="31">
        <v>170</v>
      </c>
    </row>
    <row r="3" spans="1:4" x14ac:dyDescent="0.25">
      <c r="A3" s="50" t="s">
        <v>12</v>
      </c>
      <c r="B3" s="51">
        <v>35</v>
      </c>
      <c r="C3" s="30">
        <v>450</v>
      </c>
      <c r="D3" s="31">
        <v>1179</v>
      </c>
    </row>
    <row r="4" spans="1:4" x14ac:dyDescent="0.25">
      <c r="A4" s="50" t="s">
        <v>12</v>
      </c>
      <c r="B4" s="51">
        <v>35</v>
      </c>
      <c r="C4" s="30">
        <v>610</v>
      </c>
      <c r="D4" s="31">
        <v>0</v>
      </c>
    </row>
    <row r="5" spans="1:4" x14ac:dyDescent="0.25">
      <c r="A5" s="50" t="s">
        <v>12</v>
      </c>
      <c r="B5" s="51">
        <v>35</v>
      </c>
      <c r="C5" s="30">
        <v>670</v>
      </c>
      <c r="D5" s="31">
        <v>1510.5</v>
      </c>
    </row>
    <row r="6" spans="1:4" x14ac:dyDescent="0.25">
      <c r="A6" s="50" t="s">
        <v>12</v>
      </c>
      <c r="B6" s="51">
        <v>35</v>
      </c>
      <c r="C6" s="30">
        <v>740</v>
      </c>
      <c r="D6" s="31">
        <v>665</v>
      </c>
    </row>
    <row r="7" spans="1:4" x14ac:dyDescent="0.25">
      <c r="A7" s="50" t="s">
        <v>12</v>
      </c>
      <c r="B7" s="49">
        <v>40</v>
      </c>
      <c r="C7" s="30">
        <v>800</v>
      </c>
      <c r="D7" s="31">
        <v>138</v>
      </c>
    </row>
    <row r="8" spans="1:4" x14ac:dyDescent="0.25">
      <c r="A8" s="52" t="s">
        <v>12</v>
      </c>
      <c r="B8" s="49">
        <v>50</v>
      </c>
      <c r="C8" s="30">
        <v>440</v>
      </c>
      <c r="D8" s="31">
        <v>157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51"/>
  <sheetViews>
    <sheetView showGridLines="0" view="pageLayout" topLeftCell="A23" zoomScaleNormal="100" workbookViewId="0">
      <selection activeCell="E43" sqref="E43"/>
    </sheetView>
  </sheetViews>
  <sheetFormatPr baseColWidth="10" defaultRowHeight="15" x14ac:dyDescent="0.25"/>
  <cols>
    <col min="1" max="1" width="24.85546875" customWidth="1"/>
    <col min="2" max="2" width="12" customWidth="1"/>
    <col min="4" max="4" width="3.5703125" customWidth="1"/>
    <col min="5" max="5" width="22.5703125" customWidth="1"/>
    <col min="6" max="6" width="10.7109375" customWidth="1"/>
    <col min="7" max="7" width="10.85546875" customWidth="1"/>
  </cols>
  <sheetData>
    <row r="5" spans="1:8" ht="6.75" customHeight="1" x14ac:dyDescent="0.25"/>
    <row r="6" spans="1:8" ht="16.5" customHeight="1" x14ac:dyDescent="0.25">
      <c r="A6" s="117" t="s">
        <v>13</v>
      </c>
      <c r="B6" s="117"/>
      <c r="C6" s="117"/>
      <c r="D6" s="117"/>
      <c r="E6" s="117"/>
      <c r="F6" s="117"/>
      <c r="G6" s="61"/>
    </row>
    <row r="7" spans="1:8" x14ac:dyDescent="0.25">
      <c r="A7" s="112" t="s">
        <v>14</v>
      </c>
      <c r="B7" s="113"/>
      <c r="C7" s="114"/>
      <c r="E7" s="112" t="s">
        <v>15</v>
      </c>
      <c r="F7" s="113"/>
      <c r="G7" s="114"/>
    </row>
    <row r="8" spans="1:8" x14ac:dyDescent="0.25">
      <c r="A8" s="62" t="s">
        <v>16</v>
      </c>
      <c r="B8" s="62" t="s">
        <v>17</v>
      </c>
      <c r="C8" s="62" t="s">
        <v>3</v>
      </c>
      <c r="E8" s="62" t="s">
        <v>16</v>
      </c>
      <c r="F8" s="62" t="s">
        <v>17</v>
      </c>
      <c r="G8" s="62" t="s">
        <v>3</v>
      </c>
    </row>
    <row r="9" spans="1:8" x14ac:dyDescent="0.25">
      <c r="A9" s="115" t="s">
        <v>18</v>
      </c>
      <c r="B9" s="63" t="s">
        <v>19</v>
      </c>
      <c r="C9" s="64">
        <v>1080</v>
      </c>
      <c r="D9" s="65"/>
      <c r="E9" s="66" t="s">
        <v>20</v>
      </c>
      <c r="F9" s="63" t="s">
        <v>21</v>
      </c>
      <c r="G9" s="67">
        <v>1123.4000000000001</v>
      </c>
      <c r="H9" s="65"/>
    </row>
    <row r="10" spans="1:8" x14ac:dyDescent="0.25">
      <c r="A10" s="116"/>
      <c r="B10" s="63" t="s">
        <v>22</v>
      </c>
      <c r="C10" s="68">
        <v>0</v>
      </c>
      <c r="D10" s="65"/>
      <c r="E10" s="66" t="s">
        <v>23</v>
      </c>
      <c r="F10" s="63" t="s">
        <v>24</v>
      </c>
      <c r="G10" s="63">
        <v>137</v>
      </c>
      <c r="H10" s="65"/>
    </row>
    <row r="11" spans="1:8" x14ac:dyDescent="0.25">
      <c r="A11" s="115" t="s">
        <v>25</v>
      </c>
      <c r="B11" s="63" t="s">
        <v>26</v>
      </c>
      <c r="C11" s="69">
        <v>152</v>
      </c>
      <c r="D11" s="65"/>
      <c r="E11" s="66" t="s">
        <v>27</v>
      </c>
      <c r="F11" s="63" t="s">
        <v>28</v>
      </c>
      <c r="G11" s="70">
        <v>187</v>
      </c>
      <c r="H11" s="65"/>
    </row>
    <row r="12" spans="1:8" x14ac:dyDescent="0.25">
      <c r="A12" s="116"/>
      <c r="B12" s="63" t="s">
        <v>29</v>
      </c>
      <c r="C12" s="69">
        <v>0</v>
      </c>
      <c r="D12" s="65"/>
      <c r="E12" s="66" t="s">
        <v>30</v>
      </c>
      <c r="F12" s="63" t="s">
        <v>31</v>
      </c>
      <c r="G12" s="63">
        <v>41.4</v>
      </c>
      <c r="H12" s="65"/>
    </row>
    <row r="13" spans="1:8" x14ac:dyDescent="0.25">
      <c r="A13" s="115" t="s">
        <v>32</v>
      </c>
      <c r="B13" s="63" t="s">
        <v>33</v>
      </c>
      <c r="C13" s="71">
        <v>104</v>
      </c>
      <c r="D13" s="65"/>
      <c r="E13" s="66" t="s">
        <v>34</v>
      </c>
      <c r="F13" s="63" t="s">
        <v>35</v>
      </c>
      <c r="G13" s="63">
        <v>5</v>
      </c>
      <c r="H13" s="65"/>
    </row>
    <row r="14" spans="1:8" x14ac:dyDescent="0.25">
      <c r="A14" s="116"/>
      <c r="B14" s="63" t="s">
        <v>36</v>
      </c>
      <c r="C14" s="71">
        <v>0</v>
      </c>
      <c r="D14" s="65"/>
      <c r="E14" s="66" t="s">
        <v>37</v>
      </c>
      <c r="F14" s="63" t="s">
        <v>38</v>
      </c>
      <c r="G14" s="63">
        <v>189</v>
      </c>
      <c r="H14" s="65"/>
    </row>
    <row r="15" spans="1:8" x14ac:dyDescent="0.25">
      <c r="A15" s="115" t="s">
        <v>39</v>
      </c>
      <c r="B15" s="63" t="s">
        <v>40</v>
      </c>
      <c r="C15" s="68">
        <v>270.39999999999998</v>
      </c>
      <c r="D15" s="65"/>
      <c r="E15" s="66" t="s">
        <v>41</v>
      </c>
      <c r="F15" s="63" t="s">
        <v>42</v>
      </c>
      <c r="G15" s="72">
        <v>68</v>
      </c>
      <c r="H15" s="65"/>
    </row>
    <row r="16" spans="1:8" x14ac:dyDescent="0.25">
      <c r="A16" s="116"/>
      <c r="B16" s="63" t="s">
        <v>43</v>
      </c>
      <c r="C16" s="73">
        <v>0</v>
      </c>
      <c r="D16" s="65"/>
      <c r="E16" s="66" t="s">
        <v>44</v>
      </c>
      <c r="F16" s="63" t="s">
        <v>45</v>
      </c>
      <c r="G16" s="72">
        <v>0</v>
      </c>
      <c r="H16" s="65"/>
    </row>
    <row r="17" spans="1:8" x14ac:dyDescent="0.25">
      <c r="A17" s="115" t="s">
        <v>46</v>
      </c>
      <c r="B17" s="63" t="s">
        <v>47</v>
      </c>
      <c r="C17" s="74">
        <v>153</v>
      </c>
      <c r="D17" s="65"/>
      <c r="E17" s="66" t="s">
        <v>46</v>
      </c>
      <c r="F17" s="63" t="s">
        <v>48</v>
      </c>
      <c r="G17" s="63">
        <v>187</v>
      </c>
      <c r="H17" s="65"/>
    </row>
    <row r="18" spans="1:8" x14ac:dyDescent="0.25">
      <c r="A18" s="116"/>
      <c r="B18" s="63" t="s">
        <v>49</v>
      </c>
      <c r="C18" s="74">
        <v>18</v>
      </c>
      <c r="D18" s="65"/>
      <c r="E18" s="66" t="s">
        <v>50</v>
      </c>
      <c r="F18" s="63" t="s">
        <v>51</v>
      </c>
      <c r="G18" s="63">
        <v>149</v>
      </c>
      <c r="H18" s="65"/>
    </row>
    <row r="19" spans="1:8" x14ac:dyDescent="0.25">
      <c r="A19" s="66" t="s">
        <v>52</v>
      </c>
      <c r="B19" s="63" t="s">
        <v>53</v>
      </c>
      <c r="C19" s="69">
        <v>0</v>
      </c>
      <c r="D19" s="65"/>
      <c r="E19" s="66" t="s">
        <v>54</v>
      </c>
      <c r="F19" s="63" t="s">
        <v>55</v>
      </c>
      <c r="G19" s="63">
        <v>104</v>
      </c>
      <c r="H19" s="65"/>
    </row>
    <row r="20" spans="1:8" x14ac:dyDescent="0.25">
      <c r="A20" s="66" t="s">
        <v>56</v>
      </c>
      <c r="B20" s="63" t="s">
        <v>57</v>
      </c>
      <c r="C20" s="69">
        <v>200.4</v>
      </c>
      <c r="D20" s="65"/>
      <c r="E20" s="66" t="s">
        <v>58</v>
      </c>
      <c r="F20" s="63" t="s">
        <v>59</v>
      </c>
      <c r="G20" s="63">
        <v>0</v>
      </c>
      <c r="H20" s="65"/>
    </row>
    <row r="21" spans="1:8" x14ac:dyDescent="0.25">
      <c r="A21" s="115" t="s">
        <v>60</v>
      </c>
      <c r="B21" s="63" t="s">
        <v>61</v>
      </c>
      <c r="C21" s="69">
        <v>136</v>
      </c>
      <c r="D21" s="65"/>
      <c r="E21" s="66" t="s">
        <v>62</v>
      </c>
      <c r="F21" s="63" t="s">
        <v>63</v>
      </c>
      <c r="G21" s="63">
        <v>30</v>
      </c>
      <c r="H21" s="65"/>
    </row>
    <row r="22" spans="1:8" x14ac:dyDescent="0.25">
      <c r="A22" s="116"/>
      <c r="B22" s="63" t="s">
        <v>64</v>
      </c>
      <c r="C22" s="69">
        <v>18</v>
      </c>
      <c r="D22" s="65"/>
      <c r="H22" s="65"/>
    </row>
    <row r="23" spans="1:8" x14ac:dyDescent="0.25">
      <c r="A23" s="66" t="s">
        <v>65</v>
      </c>
      <c r="B23" s="63" t="s">
        <v>66</v>
      </c>
      <c r="C23" s="69">
        <v>257.39999999999998</v>
      </c>
      <c r="D23" s="65"/>
    </row>
    <row r="24" spans="1:8" x14ac:dyDescent="0.25">
      <c r="A24" s="75" t="s">
        <v>67</v>
      </c>
      <c r="B24" s="76" t="s">
        <v>68</v>
      </c>
      <c r="C24" s="69">
        <v>0</v>
      </c>
      <c r="D24" s="65"/>
      <c r="E24" s="112" t="s">
        <v>69</v>
      </c>
      <c r="F24" s="113"/>
      <c r="G24" s="114"/>
    </row>
    <row r="25" spans="1:8" x14ac:dyDescent="0.25">
      <c r="A25" s="66" t="s">
        <v>70</v>
      </c>
      <c r="B25" s="63" t="s">
        <v>71</v>
      </c>
      <c r="C25" s="69">
        <v>238</v>
      </c>
      <c r="D25" s="65"/>
      <c r="E25" s="62" t="s">
        <v>16</v>
      </c>
      <c r="F25" s="62" t="s">
        <v>17</v>
      </c>
      <c r="G25" s="62" t="s">
        <v>3</v>
      </c>
    </row>
    <row r="26" spans="1:8" x14ac:dyDescent="0.25">
      <c r="A26" s="115" t="s">
        <v>72</v>
      </c>
      <c r="B26" s="63" t="s">
        <v>73</v>
      </c>
      <c r="C26" s="63">
        <v>220</v>
      </c>
      <c r="D26" s="65"/>
      <c r="E26" s="66" t="s">
        <v>20</v>
      </c>
      <c r="F26" s="63" t="s">
        <v>74</v>
      </c>
      <c r="G26" s="63">
        <v>0</v>
      </c>
    </row>
    <row r="27" spans="1:8" x14ac:dyDescent="0.25">
      <c r="A27" s="116"/>
      <c r="B27" s="63" t="s">
        <v>75</v>
      </c>
      <c r="C27" s="63">
        <v>0</v>
      </c>
      <c r="D27" s="65"/>
    </row>
    <row r="28" spans="1:8" x14ac:dyDescent="0.25">
      <c r="A28" s="66" t="s">
        <v>50</v>
      </c>
      <c r="B28" s="63" t="s">
        <v>76</v>
      </c>
      <c r="C28" s="69">
        <v>105.6</v>
      </c>
      <c r="D28" s="65"/>
      <c r="E28" s="112" t="s">
        <v>77</v>
      </c>
      <c r="F28" s="113"/>
      <c r="G28" s="114"/>
    </row>
    <row r="29" spans="1:8" x14ac:dyDescent="0.25">
      <c r="A29" s="66" t="s">
        <v>78</v>
      </c>
      <c r="B29" s="63" t="s">
        <v>79</v>
      </c>
      <c r="C29" s="63">
        <v>51</v>
      </c>
      <c r="D29" s="65"/>
      <c r="E29" s="62" t="s">
        <v>16</v>
      </c>
      <c r="F29" s="62" t="s">
        <v>17</v>
      </c>
      <c r="G29" s="62" t="s">
        <v>3</v>
      </c>
    </row>
    <row r="30" spans="1:8" x14ac:dyDescent="0.25">
      <c r="A30" s="66" t="s">
        <v>80</v>
      </c>
      <c r="B30" s="63" t="s">
        <v>81</v>
      </c>
      <c r="C30" s="63">
        <v>34</v>
      </c>
      <c r="D30" s="65"/>
      <c r="E30" s="66" t="s">
        <v>82</v>
      </c>
      <c r="F30" s="63" t="s">
        <v>83</v>
      </c>
      <c r="G30" s="63">
        <v>0</v>
      </c>
    </row>
    <row r="31" spans="1:8" x14ac:dyDescent="0.25">
      <c r="A31" s="66" t="s">
        <v>84</v>
      </c>
      <c r="B31" s="63" t="s">
        <v>85</v>
      </c>
      <c r="C31" s="69">
        <v>51</v>
      </c>
      <c r="D31" s="65"/>
      <c r="E31" s="66" t="s">
        <v>86</v>
      </c>
      <c r="F31" s="63" t="s">
        <v>87</v>
      </c>
      <c r="G31" s="63">
        <v>0</v>
      </c>
    </row>
    <row r="32" spans="1:8" x14ac:dyDescent="0.25">
      <c r="A32" s="66" t="s">
        <v>88</v>
      </c>
      <c r="B32" s="63" t="s">
        <v>89</v>
      </c>
      <c r="C32" s="69">
        <v>0</v>
      </c>
      <c r="D32" s="65"/>
    </row>
    <row r="33" spans="1:7" x14ac:dyDescent="0.25">
      <c r="A33" s="66" t="s">
        <v>90</v>
      </c>
      <c r="B33" s="63" t="s">
        <v>91</v>
      </c>
      <c r="C33" s="69">
        <v>119</v>
      </c>
      <c r="D33" s="65"/>
      <c r="G33" s="77"/>
    </row>
    <row r="34" spans="1:7" x14ac:dyDescent="0.25">
      <c r="A34" s="66" t="s">
        <v>92</v>
      </c>
      <c r="B34" s="63" t="s">
        <v>93</v>
      </c>
      <c r="C34" s="63">
        <v>57</v>
      </c>
      <c r="D34" s="65"/>
      <c r="E34" s="111" t="s">
        <v>94</v>
      </c>
      <c r="F34" s="111"/>
      <c r="G34" s="111"/>
    </row>
    <row r="35" spans="1:7" x14ac:dyDescent="0.25">
      <c r="A35" s="75" t="s">
        <v>95</v>
      </c>
      <c r="B35" s="76" t="s">
        <v>96</v>
      </c>
      <c r="C35" s="63">
        <v>0</v>
      </c>
      <c r="E35" s="112" t="s">
        <v>14</v>
      </c>
      <c r="F35" s="113"/>
      <c r="G35" s="114"/>
    </row>
    <row r="36" spans="1:7" x14ac:dyDescent="0.25">
      <c r="A36" s="66" t="s">
        <v>54</v>
      </c>
      <c r="B36" s="63" t="s">
        <v>97</v>
      </c>
      <c r="C36" s="63">
        <v>17</v>
      </c>
      <c r="D36" s="65"/>
      <c r="E36" s="62" t="s">
        <v>16</v>
      </c>
      <c r="F36" s="62" t="s">
        <v>17</v>
      </c>
      <c r="G36" s="62" t="s">
        <v>3</v>
      </c>
    </row>
    <row r="37" spans="1:7" x14ac:dyDescent="0.25">
      <c r="A37" s="66" t="s">
        <v>98</v>
      </c>
      <c r="B37" s="63" t="s">
        <v>99</v>
      </c>
      <c r="C37" s="63">
        <v>50.4</v>
      </c>
      <c r="D37" s="65"/>
      <c r="E37" s="78" t="s">
        <v>100</v>
      </c>
      <c r="F37" s="63" t="s">
        <v>101</v>
      </c>
      <c r="G37" s="64">
        <v>6952</v>
      </c>
    </row>
    <row r="38" spans="1:7" x14ac:dyDescent="0.25">
      <c r="A38" s="75" t="s">
        <v>102</v>
      </c>
      <c r="B38" s="76" t="s">
        <v>103</v>
      </c>
      <c r="C38" s="63">
        <v>0</v>
      </c>
      <c r="E38" s="78" t="s">
        <v>104</v>
      </c>
      <c r="F38" s="63" t="s">
        <v>105</v>
      </c>
      <c r="G38" s="69">
        <v>493</v>
      </c>
    </row>
    <row r="39" spans="1:7" x14ac:dyDescent="0.25">
      <c r="A39" s="75" t="s">
        <v>106</v>
      </c>
      <c r="B39" s="76" t="s">
        <v>107</v>
      </c>
      <c r="C39" s="63">
        <v>18</v>
      </c>
      <c r="E39" s="78" t="s">
        <v>108</v>
      </c>
      <c r="F39" s="63" t="s">
        <v>109</v>
      </c>
      <c r="G39" s="79">
        <v>1513</v>
      </c>
    </row>
    <row r="40" spans="1:7" x14ac:dyDescent="0.25">
      <c r="A40" s="75" t="s">
        <v>110</v>
      </c>
      <c r="B40" s="76" t="s">
        <v>111</v>
      </c>
      <c r="C40" s="63">
        <v>0</v>
      </c>
      <c r="E40" s="78" t="s">
        <v>112</v>
      </c>
      <c r="F40" s="63" t="s">
        <v>113</v>
      </c>
      <c r="G40" s="74">
        <v>936</v>
      </c>
    </row>
    <row r="41" spans="1:7" x14ac:dyDescent="0.25">
      <c r="A41" s="75" t="s">
        <v>114</v>
      </c>
      <c r="B41" s="76" t="s">
        <v>115</v>
      </c>
      <c r="C41" s="63">
        <v>0</v>
      </c>
      <c r="E41" s="78" t="s">
        <v>116</v>
      </c>
      <c r="F41" s="63" t="s">
        <v>117</v>
      </c>
      <c r="G41" s="69">
        <v>493</v>
      </c>
    </row>
    <row r="42" spans="1:7" x14ac:dyDescent="0.25">
      <c r="A42" s="66" t="s">
        <v>118</v>
      </c>
      <c r="B42" s="63" t="s">
        <v>119</v>
      </c>
      <c r="C42" s="69">
        <v>198</v>
      </c>
      <c r="D42" s="65"/>
      <c r="E42" s="78" t="s">
        <v>120</v>
      </c>
      <c r="F42" s="63" t="s">
        <v>121</v>
      </c>
      <c r="G42" s="69">
        <v>493</v>
      </c>
    </row>
    <row r="43" spans="1:7" x14ac:dyDescent="0.25">
      <c r="A43" s="66" t="s">
        <v>122</v>
      </c>
      <c r="B43" s="63" t="s">
        <v>123</v>
      </c>
      <c r="C43" s="69">
        <v>0</v>
      </c>
      <c r="D43" s="65"/>
      <c r="E43" s="80" t="s">
        <v>124</v>
      </c>
      <c r="F43" s="63" t="s">
        <v>125</v>
      </c>
      <c r="G43" s="69">
        <v>510</v>
      </c>
    </row>
    <row r="44" spans="1:7" x14ac:dyDescent="0.25">
      <c r="A44" s="66" t="s">
        <v>126</v>
      </c>
      <c r="B44" s="63" t="s">
        <v>127</v>
      </c>
      <c r="C44" s="63">
        <v>54</v>
      </c>
      <c r="D44" s="65"/>
    </row>
    <row r="45" spans="1:7" x14ac:dyDescent="0.25">
      <c r="A45" s="66" t="s">
        <v>128</v>
      </c>
      <c r="B45" s="63" t="s">
        <v>129</v>
      </c>
      <c r="C45" s="63">
        <v>54</v>
      </c>
      <c r="D45" s="65"/>
      <c r="E45" s="112" t="s">
        <v>15</v>
      </c>
      <c r="F45" s="113"/>
      <c r="G45" s="114"/>
    </row>
    <row r="46" spans="1:7" x14ac:dyDescent="0.25">
      <c r="A46" s="66" t="s">
        <v>130</v>
      </c>
      <c r="B46" s="63" t="s">
        <v>131</v>
      </c>
      <c r="C46" s="63">
        <v>70</v>
      </c>
      <c r="D46" s="65"/>
      <c r="E46" s="62" t="s">
        <v>16</v>
      </c>
      <c r="F46" s="62" t="s">
        <v>17</v>
      </c>
      <c r="G46" s="62" t="s">
        <v>3</v>
      </c>
    </row>
    <row r="47" spans="1:7" x14ac:dyDescent="0.25">
      <c r="A47" s="66" t="s">
        <v>132</v>
      </c>
      <c r="B47" s="63" t="s">
        <v>133</v>
      </c>
      <c r="C47" s="63">
        <v>60</v>
      </c>
      <c r="D47" s="65"/>
      <c r="E47" s="66" t="s">
        <v>134</v>
      </c>
      <c r="F47" s="63">
        <v>62838</v>
      </c>
      <c r="G47" s="67">
        <v>1892</v>
      </c>
    </row>
    <row r="48" spans="1:7" x14ac:dyDescent="0.25">
      <c r="A48" s="66" t="s">
        <v>135</v>
      </c>
      <c r="B48" s="63">
        <v>2042</v>
      </c>
      <c r="C48" s="63">
        <v>49</v>
      </c>
      <c r="D48" s="65"/>
    </row>
    <row r="49" spans="1:4" x14ac:dyDescent="0.25">
      <c r="A49" s="66" t="s">
        <v>136</v>
      </c>
      <c r="B49" s="63" t="s">
        <v>137</v>
      </c>
      <c r="C49" s="63">
        <v>133.6</v>
      </c>
      <c r="D49" s="65"/>
    </row>
    <row r="50" spans="1:4" x14ac:dyDescent="0.25">
      <c r="A50" s="66" t="s">
        <v>138</v>
      </c>
      <c r="B50" s="63" t="s">
        <v>139</v>
      </c>
      <c r="C50" s="63">
        <v>0</v>
      </c>
    </row>
    <row r="51" spans="1:4" x14ac:dyDescent="0.25">
      <c r="A51" s="66" t="s">
        <v>140</v>
      </c>
      <c r="B51" s="63" t="s">
        <v>141</v>
      </c>
      <c r="C51" s="63">
        <v>68</v>
      </c>
    </row>
  </sheetData>
  <mergeCells count="15">
    <mergeCell ref="A13:A14"/>
    <mergeCell ref="A6:F6"/>
    <mergeCell ref="A7:C7"/>
    <mergeCell ref="E7:G7"/>
    <mergeCell ref="A9:A10"/>
    <mergeCell ref="A11:A12"/>
    <mergeCell ref="E34:G34"/>
    <mergeCell ref="E35:G35"/>
    <mergeCell ref="E45:G45"/>
    <mergeCell ref="A15:A16"/>
    <mergeCell ref="A17:A18"/>
    <mergeCell ref="A21:A22"/>
    <mergeCell ref="E24:G24"/>
    <mergeCell ref="A26:A27"/>
    <mergeCell ref="E28:G28"/>
  </mergeCells>
  <conditionalFormatting sqref="C10">
    <cfRule type="cellIs" dxfId="59" priority="32" operator="lessThan">
      <formula>500</formula>
    </cfRule>
  </conditionalFormatting>
  <conditionalFormatting sqref="C22 C18">
    <cfRule type="cellIs" dxfId="58" priority="31" operator="lessThan">
      <formula>200</formula>
    </cfRule>
  </conditionalFormatting>
  <conditionalFormatting sqref="C12">
    <cfRule type="cellIs" dxfId="57" priority="30" operator="lessThan">
      <formula>36</formula>
    </cfRule>
  </conditionalFormatting>
  <conditionalFormatting sqref="C29">
    <cfRule type="cellIs" dxfId="56" priority="20" operator="lessThan">
      <formula>36</formula>
    </cfRule>
  </conditionalFormatting>
  <conditionalFormatting sqref="C9">
    <cfRule type="cellIs" dxfId="55" priority="29" operator="lessThan">
      <formula>500</formula>
    </cfRule>
  </conditionalFormatting>
  <conditionalFormatting sqref="C20">
    <cfRule type="cellIs" dxfId="54" priority="28" operator="lessThan">
      <formula>200</formula>
    </cfRule>
  </conditionalFormatting>
  <conditionalFormatting sqref="C21">
    <cfRule type="cellIs" dxfId="53" priority="27" operator="lessThan">
      <formula>200</formula>
    </cfRule>
  </conditionalFormatting>
  <conditionalFormatting sqref="C23">
    <cfRule type="cellIs" dxfId="52" priority="26" operator="lessThan">
      <formula>200</formula>
    </cfRule>
  </conditionalFormatting>
  <conditionalFormatting sqref="C26">
    <cfRule type="cellIs" dxfId="51" priority="25" operator="lessThan">
      <formula>100</formula>
    </cfRule>
  </conditionalFormatting>
  <conditionalFormatting sqref="C11">
    <cfRule type="cellIs" dxfId="50" priority="24" operator="lessThan">
      <formula>36</formula>
    </cfRule>
  </conditionalFormatting>
  <conditionalFormatting sqref="C33">
    <cfRule type="cellIs" dxfId="49" priority="23" operator="lessThan">
      <formula>100</formula>
    </cfRule>
  </conditionalFormatting>
  <conditionalFormatting sqref="C32 C25">
    <cfRule type="cellIs" dxfId="48" priority="22" operator="lessThan">
      <formula>70</formula>
    </cfRule>
  </conditionalFormatting>
  <conditionalFormatting sqref="C41">
    <cfRule type="cellIs" dxfId="47" priority="21" operator="lessThan">
      <formula>18</formula>
    </cfRule>
  </conditionalFormatting>
  <conditionalFormatting sqref="C17">
    <cfRule type="cellIs" dxfId="46" priority="19" operator="lessThan">
      <formula>200</formula>
    </cfRule>
  </conditionalFormatting>
  <conditionalFormatting sqref="C16">
    <cfRule type="cellIs" dxfId="45" priority="18" operator="lessThan">
      <formula>500</formula>
    </cfRule>
  </conditionalFormatting>
  <conditionalFormatting sqref="C27">
    <cfRule type="cellIs" dxfId="44" priority="17" operator="lessThan">
      <formula>100</formula>
    </cfRule>
  </conditionalFormatting>
  <conditionalFormatting sqref="C13:C14">
    <cfRule type="cellIs" dxfId="43" priority="15" operator="lessThan">
      <formula>100</formula>
    </cfRule>
    <cfRule type="cellIs" dxfId="42" priority="16" operator="lessThan">
      <formula>18</formula>
    </cfRule>
  </conditionalFormatting>
  <conditionalFormatting sqref="C15">
    <cfRule type="cellIs" dxfId="41" priority="14" operator="lessThan">
      <formula>500</formula>
    </cfRule>
  </conditionalFormatting>
  <conditionalFormatting sqref="C28">
    <cfRule type="cellIs" dxfId="40" priority="13" operator="lessThan">
      <formula>54</formula>
    </cfRule>
  </conditionalFormatting>
  <conditionalFormatting sqref="G9">
    <cfRule type="cellIs" dxfId="39" priority="12" operator="lessThan">
      <formula>500</formula>
    </cfRule>
  </conditionalFormatting>
  <conditionalFormatting sqref="G11">
    <cfRule type="cellIs" dxfId="38" priority="11" operator="lessThan">
      <formula>200</formula>
    </cfRule>
  </conditionalFormatting>
  <conditionalFormatting sqref="G15:G16">
    <cfRule type="cellIs" dxfId="37" priority="4" operator="lessThan">
      <formula>200</formula>
    </cfRule>
    <cfRule type="cellIs" dxfId="36" priority="5" operator="lessThan">
      <formula>200</formula>
    </cfRule>
    <cfRule type="cellIs" dxfId="35" priority="6" operator="lessThan">
      <formula>200</formula>
    </cfRule>
    <cfRule type="cellIs" dxfId="34" priority="10" operator="lessThan">
      <formula>500</formula>
    </cfRule>
  </conditionalFormatting>
  <conditionalFormatting sqref="G12">
    <cfRule type="cellIs" dxfId="33" priority="9" operator="lessThan">
      <formula>200</formula>
    </cfRule>
  </conditionalFormatting>
  <conditionalFormatting sqref="G14">
    <cfRule type="cellIs" dxfId="32" priority="7" operator="lessThan">
      <formula>200</formula>
    </cfRule>
    <cfRule type="cellIs" dxfId="31" priority="8" operator="lessThan">
      <formula>36</formula>
    </cfRule>
  </conditionalFormatting>
  <conditionalFormatting sqref="G17">
    <cfRule type="cellIs" dxfId="30" priority="3" operator="lessThan">
      <formula>90</formula>
    </cfRule>
  </conditionalFormatting>
  <conditionalFormatting sqref="G20">
    <cfRule type="cellIs" dxfId="29" priority="2" operator="lessThan">
      <formula>36</formula>
    </cfRule>
  </conditionalFormatting>
  <conditionalFormatting sqref="G19">
    <cfRule type="cellIs" dxfId="28" priority="1" operator="lessThan">
      <formula>36</formula>
    </cfRule>
  </conditionalFormatting>
  <pageMargins left="0.39370078740157483" right="0.39370078740157483" top="0.39370078740157483" bottom="0.39370078740157483" header="0.31496062992125984" footer="0.31496062992125984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showGridLines="0" tabSelected="1" view="pageLayout" zoomScaleNormal="100" workbookViewId="0">
      <selection activeCell="D10" sqref="D10:D12"/>
    </sheetView>
  </sheetViews>
  <sheetFormatPr baseColWidth="10" defaultRowHeight="15" x14ac:dyDescent="0.25"/>
  <cols>
    <col min="1" max="1" width="11.28515625" customWidth="1"/>
    <col min="2" max="2" width="17.5703125" customWidth="1"/>
    <col min="3" max="3" width="23.140625" customWidth="1"/>
    <col min="4" max="4" width="17.5703125" customWidth="1"/>
    <col min="5" max="5" width="15.42578125" customWidth="1"/>
  </cols>
  <sheetData>
    <row r="1" spans="1:5" ht="15" customHeight="1" x14ac:dyDescent="0.25">
      <c r="C1" s="81"/>
      <c r="D1" s="81"/>
      <c r="E1" s="81"/>
    </row>
    <row r="2" spans="1:5" x14ac:dyDescent="0.25">
      <c r="C2" s="81"/>
      <c r="D2" s="81"/>
      <c r="E2" s="81"/>
    </row>
    <row r="3" spans="1:5" ht="15.75" customHeight="1" x14ac:dyDescent="0.25"/>
    <row r="7" spans="1:5" ht="18.75" x14ac:dyDescent="0.3">
      <c r="A7" s="118" t="s">
        <v>142</v>
      </c>
      <c r="B7" s="118"/>
      <c r="C7" s="118"/>
      <c r="D7" s="118"/>
      <c r="E7" s="118"/>
    </row>
    <row r="8" spans="1:5" x14ac:dyDescent="0.25">
      <c r="D8" s="82"/>
      <c r="E8" s="83"/>
    </row>
    <row r="9" spans="1:5" ht="37.5" customHeight="1" x14ac:dyDescent="0.25">
      <c r="B9" s="84" t="s">
        <v>143</v>
      </c>
      <c r="C9" s="84" t="s">
        <v>0</v>
      </c>
      <c r="D9" s="84" t="s">
        <v>3</v>
      </c>
    </row>
    <row r="10" spans="1:5" ht="15" customHeight="1" x14ac:dyDescent="0.25">
      <c r="B10" s="85" t="s">
        <v>144</v>
      </c>
      <c r="C10" s="86" t="s">
        <v>145</v>
      </c>
      <c r="D10" s="87">
        <v>1973.56</v>
      </c>
      <c r="E10" s="88"/>
    </row>
    <row r="11" spans="1:5" x14ac:dyDescent="0.25">
      <c r="B11" s="89" t="s">
        <v>146</v>
      </c>
      <c r="C11" s="90" t="s">
        <v>147</v>
      </c>
      <c r="D11" s="87">
        <v>521.65</v>
      </c>
      <c r="E11" s="91"/>
    </row>
    <row r="12" spans="1:5" ht="18" customHeight="1" x14ac:dyDescent="0.25">
      <c r="B12" s="89" t="s">
        <v>148</v>
      </c>
      <c r="C12" s="90" t="s">
        <v>149</v>
      </c>
      <c r="D12" s="87">
        <v>89.09</v>
      </c>
    </row>
    <row r="13" spans="1:5" ht="21.75" customHeight="1" x14ac:dyDescent="0.25">
      <c r="B13" s="89" t="s">
        <v>150</v>
      </c>
      <c r="C13" s="90" t="s">
        <v>151</v>
      </c>
      <c r="D13" s="92">
        <v>800</v>
      </c>
    </row>
    <row r="14" spans="1:5" ht="20.25" customHeight="1" x14ac:dyDescent="0.25">
      <c r="B14" s="89" t="s">
        <v>152</v>
      </c>
      <c r="C14" s="90" t="s">
        <v>153</v>
      </c>
      <c r="D14" s="92">
        <v>420</v>
      </c>
      <c r="E14" s="88"/>
    </row>
    <row r="15" spans="1:5" ht="22.5" customHeight="1" x14ac:dyDescent="0.25">
      <c r="B15" s="89" t="s">
        <v>150</v>
      </c>
      <c r="C15" s="90" t="s">
        <v>154</v>
      </c>
      <c r="D15" s="92">
        <v>0</v>
      </c>
    </row>
    <row r="16" spans="1:5" ht="24" customHeight="1" x14ac:dyDescent="0.25">
      <c r="B16" s="89" t="s">
        <v>152</v>
      </c>
      <c r="C16" s="90" t="s">
        <v>155</v>
      </c>
      <c r="D16" s="92">
        <v>0</v>
      </c>
      <c r="E16" s="83"/>
    </row>
    <row r="17" spans="2:5" ht="24" customHeight="1" x14ac:dyDescent="0.25">
      <c r="B17" s="89" t="s">
        <v>156</v>
      </c>
      <c r="C17" s="90" t="s">
        <v>157</v>
      </c>
      <c r="D17" s="87">
        <v>0</v>
      </c>
      <c r="E17" s="88"/>
    </row>
    <row r="18" spans="2:5" ht="19.5" customHeight="1" x14ac:dyDescent="0.25">
      <c r="B18" s="89" t="s">
        <v>152</v>
      </c>
      <c r="C18" s="90" t="s">
        <v>158</v>
      </c>
      <c r="D18" s="93">
        <v>0</v>
      </c>
      <c r="E18" s="88"/>
    </row>
    <row r="19" spans="2:5" ht="19.5" customHeight="1" x14ac:dyDescent="0.25">
      <c r="B19" s="89" t="s">
        <v>159</v>
      </c>
      <c r="C19" s="90" t="s">
        <v>160</v>
      </c>
      <c r="D19" s="87">
        <v>89.1</v>
      </c>
      <c r="E19" s="88"/>
    </row>
    <row r="20" spans="2:5" x14ac:dyDescent="0.25">
      <c r="C20" s="94"/>
      <c r="D20" s="88"/>
      <c r="E20" s="88"/>
    </row>
    <row r="21" spans="2:5" x14ac:dyDescent="0.25">
      <c r="C21" s="88"/>
      <c r="D21" s="88" t="s">
        <v>161</v>
      </c>
      <c r="E21" s="88"/>
    </row>
    <row r="22" spans="2:5" x14ac:dyDescent="0.25">
      <c r="C22" s="88"/>
      <c r="D22" s="88"/>
      <c r="E22" s="88"/>
    </row>
    <row r="23" spans="2:5" x14ac:dyDescent="0.25">
      <c r="C23" s="88"/>
      <c r="D23" s="88"/>
      <c r="E23" s="88"/>
    </row>
    <row r="24" spans="2:5" x14ac:dyDescent="0.25">
      <c r="C24" s="88"/>
      <c r="D24" s="88"/>
      <c r="E24" s="88"/>
    </row>
    <row r="25" spans="2:5" x14ac:dyDescent="0.25">
      <c r="C25" s="88"/>
      <c r="D25" s="88"/>
      <c r="E25" s="88"/>
    </row>
    <row r="26" spans="2:5" x14ac:dyDescent="0.25">
      <c r="C26" s="88"/>
      <c r="D26" s="88"/>
      <c r="E26" s="88"/>
    </row>
    <row r="27" spans="2:5" x14ac:dyDescent="0.25">
      <c r="D27" s="88"/>
    </row>
    <row r="28" spans="2:5" x14ac:dyDescent="0.25">
      <c r="D28" s="88"/>
    </row>
  </sheetData>
  <mergeCells count="1">
    <mergeCell ref="A7:E7"/>
  </mergeCells>
  <conditionalFormatting sqref="D15">
    <cfRule type="cellIs" dxfId="18" priority="17" operator="lessThan">
      <formula>401</formula>
    </cfRule>
    <cfRule type="cellIs" dxfId="17" priority="18" operator="lessThan">
      <formula>400</formula>
    </cfRule>
    <cfRule type="cellIs" dxfId="16" priority="24" operator="lessThan">
      <formula>200</formula>
    </cfRule>
  </conditionalFormatting>
  <conditionalFormatting sqref="D16">
    <cfRule type="cellIs" dxfId="15" priority="15" operator="lessThan">
      <formula>381</formula>
    </cfRule>
    <cfRule type="cellIs" dxfId="14" priority="23" operator="lessThan">
      <formula>210</formula>
    </cfRule>
  </conditionalFormatting>
  <conditionalFormatting sqref="D13">
    <cfRule type="cellIs" dxfId="13" priority="11" operator="lessThan">
      <formula>401</formula>
    </cfRule>
    <cfRule type="cellIs" dxfId="12" priority="12" operator="lessThan">
      <formula>400</formula>
    </cfRule>
    <cfRule type="cellIs" dxfId="11" priority="14" operator="lessThan">
      <formula>200</formula>
    </cfRule>
  </conditionalFormatting>
  <conditionalFormatting sqref="D14">
    <cfRule type="cellIs" dxfId="10" priority="10" operator="lessThan">
      <formula>381</formula>
    </cfRule>
    <cfRule type="cellIs" dxfId="9" priority="13" operator="lessThan">
      <formula>210</formula>
    </cfRule>
  </conditionalFormatting>
  <conditionalFormatting sqref="D12">
    <cfRule type="cellIs" dxfId="8" priority="2" operator="lessThan">
      <formula>190</formula>
    </cfRule>
    <cfRule type="cellIs" dxfId="7" priority="5" operator="lessThan">
      <formula>190</formula>
    </cfRule>
    <cfRule type="cellIs" dxfId="6" priority="9" operator="lessThan">
      <formula>100</formula>
    </cfRule>
  </conditionalFormatting>
  <conditionalFormatting sqref="D10">
    <cfRule type="cellIs" dxfId="5" priority="3" operator="lessThan">
      <formula>2835</formula>
    </cfRule>
    <cfRule type="cellIs" dxfId="4" priority="4" operator="lessThan">
      <formula>1890</formula>
    </cfRule>
    <cfRule type="cellIs" dxfId="3" priority="7" operator="lessThan">
      <formula>1000</formula>
    </cfRule>
    <cfRule type="cellIs" dxfId="2" priority="8" operator="lessThan">
      <formula>100</formula>
    </cfRule>
  </conditionalFormatting>
  <conditionalFormatting sqref="D11">
    <cfRule type="cellIs" dxfId="1" priority="1" operator="lessThan">
      <formula>541</formula>
    </cfRule>
    <cfRule type="cellIs" dxfId="0" priority="6" operator="lessThan">
      <formula>500</formula>
    </cfRule>
  </conditionalFormatting>
  <pageMargins left="1.0416666666666667" right="0.78740157480314965" top="0.78740157480314965" bottom="0.78740157480314965" header="0.31496062992125984" footer="0.31496062992125984"/>
  <pageSetup fitToWidth="0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4"/>
  <sheetViews>
    <sheetView showGridLines="0" view="pageLayout" zoomScaleNormal="100" workbookViewId="0">
      <selection activeCell="G81" sqref="G81"/>
    </sheetView>
  </sheetViews>
  <sheetFormatPr baseColWidth="10" defaultRowHeight="15" x14ac:dyDescent="0.25"/>
  <cols>
    <col min="1" max="1" width="9" bestFit="1" customWidth="1"/>
    <col min="2" max="2" width="23.5703125" style="95" customWidth="1"/>
    <col min="3" max="3" width="10.42578125" bestFit="1" customWidth="1"/>
    <col min="4" max="4" width="10.85546875" customWidth="1"/>
    <col min="5" max="5" width="8.7109375" bestFit="1" customWidth="1"/>
    <col min="6" max="6" width="26.42578125" style="95" customWidth="1"/>
    <col min="7" max="7" width="10.7109375" bestFit="1" customWidth="1"/>
  </cols>
  <sheetData>
    <row r="1" spans="1:7" ht="15" customHeight="1" x14ac:dyDescent="0.25">
      <c r="E1" s="81"/>
      <c r="F1" s="96"/>
      <c r="G1" s="81"/>
    </row>
    <row r="2" spans="1:7" x14ac:dyDescent="0.25">
      <c r="E2" s="81"/>
      <c r="F2" s="96"/>
      <c r="G2" s="81"/>
    </row>
    <row r="3" spans="1:7" ht="15.75" customHeight="1" x14ac:dyDescent="0.25"/>
    <row r="6" spans="1:7" ht="18.75" x14ac:dyDescent="0.3">
      <c r="B6" s="118" t="s">
        <v>162</v>
      </c>
      <c r="C6" s="118"/>
      <c r="D6" s="118"/>
      <c r="E6" s="118"/>
      <c r="F6" s="118"/>
      <c r="G6" s="97"/>
    </row>
    <row r="7" spans="1:7" x14ac:dyDescent="0.25">
      <c r="A7" s="119" t="s">
        <v>163</v>
      </c>
      <c r="B7" s="119"/>
      <c r="C7" s="119"/>
      <c r="D7" s="98"/>
      <c r="E7" s="119" t="s">
        <v>163</v>
      </c>
      <c r="F7" s="119"/>
      <c r="G7" s="119"/>
    </row>
    <row r="8" spans="1:7" ht="17.25" customHeight="1" x14ac:dyDescent="0.25">
      <c r="A8" s="99" t="s">
        <v>164</v>
      </c>
      <c r="B8" s="100" t="s">
        <v>0</v>
      </c>
      <c r="C8" s="99" t="s">
        <v>165</v>
      </c>
      <c r="E8" s="99" t="s">
        <v>164</v>
      </c>
      <c r="F8" s="100" t="s">
        <v>0</v>
      </c>
      <c r="G8" s="99" t="s">
        <v>165</v>
      </c>
    </row>
    <row r="9" spans="1:7" x14ac:dyDescent="0.25">
      <c r="A9" s="89" t="s">
        <v>166</v>
      </c>
      <c r="B9" s="101" t="s">
        <v>167</v>
      </c>
      <c r="C9" s="102">
        <v>0</v>
      </c>
      <c r="E9" s="89" t="s">
        <v>168</v>
      </c>
      <c r="F9" s="101" t="s">
        <v>169</v>
      </c>
      <c r="G9" s="103">
        <v>0</v>
      </c>
    </row>
    <row r="10" spans="1:7" x14ac:dyDescent="0.25">
      <c r="A10" s="89" t="s">
        <v>166</v>
      </c>
      <c r="B10" s="101" t="s">
        <v>170</v>
      </c>
      <c r="C10" s="102">
        <v>0</v>
      </c>
      <c r="E10" s="89" t="s">
        <v>166</v>
      </c>
      <c r="F10" s="101" t="s">
        <v>171</v>
      </c>
      <c r="G10" s="102">
        <v>0</v>
      </c>
    </row>
    <row r="11" spans="1:7" x14ac:dyDescent="0.25">
      <c r="A11" s="89" t="s">
        <v>166</v>
      </c>
      <c r="B11" s="101" t="s">
        <v>172</v>
      </c>
      <c r="C11" s="102">
        <v>0</v>
      </c>
      <c r="E11" s="89" t="s">
        <v>166</v>
      </c>
      <c r="F11" s="101" t="s">
        <v>173</v>
      </c>
      <c r="G11" s="102">
        <v>0</v>
      </c>
    </row>
    <row r="12" spans="1:7" x14ac:dyDescent="0.25">
      <c r="A12" s="89" t="s">
        <v>166</v>
      </c>
      <c r="B12" s="101" t="s">
        <v>174</v>
      </c>
      <c r="C12" s="102">
        <v>0</v>
      </c>
      <c r="E12" s="89" t="s">
        <v>175</v>
      </c>
      <c r="F12" s="101" t="s">
        <v>176</v>
      </c>
      <c r="G12" s="102">
        <v>0</v>
      </c>
    </row>
    <row r="13" spans="1:7" x14ac:dyDescent="0.25">
      <c r="A13" s="89" t="s">
        <v>166</v>
      </c>
      <c r="B13" s="101" t="s">
        <v>177</v>
      </c>
      <c r="C13" s="102">
        <v>0</v>
      </c>
      <c r="E13" s="89" t="s">
        <v>166</v>
      </c>
      <c r="F13" s="101" t="s">
        <v>178</v>
      </c>
      <c r="G13" s="103">
        <v>6</v>
      </c>
    </row>
    <row r="14" spans="1:7" x14ac:dyDescent="0.25">
      <c r="A14" s="89" t="s">
        <v>166</v>
      </c>
      <c r="B14" s="101" t="s">
        <v>179</v>
      </c>
      <c r="C14" s="102">
        <v>0</v>
      </c>
      <c r="E14" s="89" t="s">
        <v>166</v>
      </c>
      <c r="F14" s="101" t="s">
        <v>180</v>
      </c>
      <c r="G14" s="102">
        <v>0</v>
      </c>
    </row>
    <row r="15" spans="1:7" x14ac:dyDescent="0.25">
      <c r="A15" s="89" t="s">
        <v>166</v>
      </c>
      <c r="B15" s="101" t="s">
        <v>181</v>
      </c>
      <c r="C15" s="102">
        <v>0</v>
      </c>
      <c r="E15" s="89" t="s">
        <v>166</v>
      </c>
      <c r="F15" s="101" t="s">
        <v>182</v>
      </c>
      <c r="G15" s="102">
        <v>0</v>
      </c>
    </row>
    <row r="16" spans="1:7" x14ac:dyDescent="0.25">
      <c r="A16" s="89" t="s">
        <v>175</v>
      </c>
      <c r="B16" s="101" t="s">
        <v>183</v>
      </c>
      <c r="C16" s="102">
        <v>2</v>
      </c>
      <c r="D16" s="104"/>
      <c r="E16" s="89" t="s">
        <v>166</v>
      </c>
      <c r="F16" s="101" t="s">
        <v>184</v>
      </c>
      <c r="G16" s="102">
        <v>9</v>
      </c>
    </row>
    <row r="17" spans="1:7" x14ac:dyDescent="0.25">
      <c r="A17" s="89" t="s">
        <v>185</v>
      </c>
      <c r="B17" s="101" t="s">
        <v>186</v>
      </c>
      <c r="C17" s="103">
        <v>1</v>
      </c>
      <c r="D17" s="104"/>
      <c r="E17" s="89" t="s">
        <v>166</v>
      </c>
      <c r="F17" s="101" t="s">
        <v>187</v>
      </c>
      <c r="G17" s="102">
        <v>0</v>
      </c>
    </row>
    <row r="18" spans="1:7" x14ac:dyDescent="0.25">
      <c r="A18" s="89" t="s">
        <v>166</v>
      </c>
      <c r="B18" s="101" t="s">
        <v>188</v>
      </c>
      <c r="C18" s="102">
        <v>0</v>
      </c>
      <c r="E18" s="89" t="s">
        <v>166</v>
      </c>
      <c r="F18" s="101" t="s">
        <v>189</v>
      </c>
      <c r="G18" s="102">
        <v>0</v>
      </c>
    </row>
    <row r="19" spans="1:7" x14ac:dyDescent="0.25">
      <c r="A19" s="89" t="s">
        <v>166</v>
      </c>
      <c r="B19" s="101" t="s">
        <v>190</v>
      </c>
      <c r="C19" s="102">
        <v>0</v>
      </c>
      <c r="E19" s="89" t="s">
        <v>166</v>
      </c>
      <c r="F19" s="101" t="s">
        <v>191</v>
      </c>
      <c r="G19" s="102">
        <v>0</v>
      </c>
    </row>
    <row r="20" spans="1:7" x14ac:dyDescent="0.25">
      <c r="A20" s="89" t="s">
        <v>192</v>
      </c>
      <c r="B20" s="101" t="s">
        <v>193</v>
      </c>
      <c r="C20" s="87">
        <v>0.5</v>
      </c>
      <c r="E20" s="89" t="s">
        <v>166</v>
      </c>
      <c r="F20" s="101" t="s">
        <v>194</v>
      </c>
      <c r="G20" s="102">
        <v>200</v>
      </c>
    </row>
    <row r="21" spans="1:7" x14ac:dyDescent="0.25">
      <c r="A21" s="89" t="s">
        <v>166</v>
      </c>
      <c r="B21" s="101" t="s">
        <v>195</v>
      </c>
      <c r="C21" s="102">
        <v>0</v>
      </c>
      <c r="E21" s="89" t="s">
        <v>166</v>
      </c>
      <c r="F21" s="101" t="s">
        <v>196</v>
      </c>
      <c r="G21" s="102">
        <v>5</v>
      </c>
    </row>
    <row r="22" spans="1:7" x14ac:dyDescent="0.25">
      <c r="A22" s="89" t="s">
        <v>166</v>
      </c>
      <c r="B22" s="101" t="s">
        <v>197</v>
      </c>
      <c r="C22" s="102">
        <v>1</v>
      </c>
      <c r="E22" s="89" t="s">
        <v>166</v>
      </c>
      <c r="F22" s="101" t="s">
        <v>198</v>
      </c>
      <c r="G22" s="102">
        <v>1</v>
      </c>
    </row>
    <row r="23" spans="1:7" x14ac:dyDescent="0.25">
      <c r="A23" s="89" t="s">
        <v>166</v>
      </c>
      <c r="B23" s="101" t="s">
        <v>199</v>
      </c>
      <c r="C23" s="102">
        <v>12</v>
      </c>
      <c r="E23" s="89" t="s">
        <v>166</v>
      </c>
      <c r="F23" s="101" t="s">
        <v>200</v>
      </c>
      <c r="G23" s="102">
        <v>0</v>
      </c>
    </row>
    <row r="24" spans="1:7" x14ac:dyDescent="0.25">
      <c r="A24" s="89" t="s">
        <v>166</v>
      </c>
      <c r="B24" s="101" t="s">
        <v>201</v>
      </c>
      <c r="C24" s="102">
        <v>1</v>
      </c>
      <c r="E24" s="89" t="s">
        <v>166</v>
      </c>
      <c r="F24" s="101" t="s">
        <v>202</v>
      </c>
      <c r="G24" s="102">
        <v>0</v>
      </c>
    </row>
    <row r="25" spans="1:7" x14ac:dyDescent="0.25">
      <c r="A25" s="89" t="s">
        <v>166</v>
      </c>
      <c r="B25" s="101" t="s">
        <v>203</v>
      </c>
      <c r="C25" s="102">
        <v>0</v>
      </c>
      <c r="E25" s="89" t="s">
        <v>166</v>
      </c>
      <c r="F25" s="101" t="s">
        <v>204</v>
      </c>
      <c r="G25" s="102">
        <v>0</v>
      </c>
    </row>
    <row r="26" spans="1:7" x14ac:dyDescent="0.25">
      <c r="A26" s="89" t="s">
        <v>166</v>
      </c>
      <c r="B26" s="101" t="s">
        <v>205</v>
      </c>
      <c r="C26" s="102">
        <v>1</v>
      </c>
      <c r="E26" s="89" t="s">
        <v>166</v>
      </c>
      <c r="F26" s="101" t="s">
        <v>206</v>
      </c>
      <c r="G26" s="102">
        <v>4</v>
      </c>
    </row>
    <row r="27" spans="1:7" x14ac:dyDescent="0.25">
      <c r="A27" s="89" t="s">
        <v>166</v>
      </c>
      <c r="B27" s="101" t="s">
        <v>207</v>
      </c>
      <c r="C27" s="102">
        <v>42</v>
      </c>
      <c r="E27" s="89" t="s">
        <v>166</v>
      </c>
      <c r="F27" s="101" t="s">
        <v>208</v>
      </c>
      <c r="G27" s="102">
        <v>23</v>
      </c>
    </row>
    <row r="28" spans="1:7" x14ac:dyDescent="0.25">
      <c r="A28" s="89" t="s">
        <v>166</v>
      </c>
      <c r="B28" s="101" t="s">
        <v>209</v>
      </c>
      <c r="C28" s="102">
        <v>0</v>
      </c>
      <c r="E28" s="89" t="s">
        <v>168</v>
      </c>
      <c r="F28" s="101" t="s">
        <v>210</v>
      </c>
      <c r="G28" s="102">
        <v>5</v>
      </c>
    </row>
    <row r="29" spans="1:7" x14ac:dyDescent="0.25">
      <c r="A29" s="89" t="s">
        <v>166</v>
      </c>
      <c r="B29" s="101" t="s">
        <v>211</v>
      </c>
      <c r="C29" s="102">
        <v>2</v>
      </c>
      <c r="E29" s="89" t="s">
        <v>166</v>
      </c>
      <c r="F29" s="101" t="s">
        <v>212</v>
      </c>
      <c r="G29" s="102">
        <v>0</v>
      </c>
    </row>
    <row r="30" spans="1:7" x14ac:dyDescent="0.25">
      <c r="A30" s="89" t="s">
        <v>166</v>
      </c>
      <c r="B30" s="101" t="s">
        <v>213</v>
      </c>
      <c r="C30" s="102">
        <v>0</v>
      </c>
      <c r="E30" s="89" t="s">
        <v>166</v>
      </c>
      <c r="F30" s="101" t="s">
        <v>214</v>
      </c>
      <c r="G30" s="102">
        <v>5</v>
      </c>
    </row>
    <row r="31" spans="1:7" x14ac:dyDescent="0.25">
      <c r="A31" s="89" t="s">
        <v>166</v>
      </c>
      <c r="B31" s="101" t="s">
        <v>215</v>
      </c>
      <c r="C31" s="102">
        <v>0</v>
      </c>
      <c r="E31" s="89" t="s">
        <v>216</v>
      </c>
      <c r="F31" s="101" t="s">
        <v>217</v>
      </c>
      <c r="G31" s="102">
        <v>7</v>
      </c>
    </row>
    <row r="32" spans="1:7" x14ac:dyDescent="0.25">
      <c r="A32" s="89" t="s">
        <v>166</v>
      </c>
      <c r="B32" s="101" t="s">
        <v>218</v>
      </c>
      <c r="C32" s="102">
        <v>4</v>
      </c>
      <c r="E32" s="89" t="s">
        <v>166</v>
      </c>
      <c r="F32" s="101" t="s">
        <v>219</v>
      </c>
      <c r="G32" s="102">
        <v>4</v>
      </c>
    </row>
    <row r="33" spans="1:7" x14ac:dyDescent="0.25">
      <c r="A33" s="89" t="s">
        <v>166</v>
      </c>
      <c r="B33" s="101" t="s">
        <v>220</v>
      </c>
      <c r="C33" s="102">
        <v>0</v>
      </c>
      <c r="E33" s="89" t="s">
        <v>166</v>
      </c>
      <c r="F33" s="101" t="s">
        <v>221</v>
      </c>
      <c r="G33" s="102">
        <v>0</v>
      </c>
    </row>
    <row r="34" spans="1:7" x14ac:dyDescent="0.25">
      <c r="A34" s="89" t="s">
        <v>166</v>
      </c>
      <c r="B34" s="101" t="s">
        <v>222</v>
      </c>
      <c r="C34" s="102">
        <v>0</v>
      </c>
      <c r="E34" s="89" t="s">
        <v>166</v>
      </c>
      <c r="F34" s="101" t="s">
        <v>223</v>
      </c>
      <c r="G34" s="102">
        <v>70</v>
      </c>
    </row>
    <row r="35" spans="1:7" x14ac:dyDescent="0.25">
      <c r="A35" s="89" t="s">
        <v>166</v>
      </c>
      <c r="B35" s="101" t="s">
        <v>224</v>
      </c>
      <c r="C35" s="102">
        <v>1</v>
      </c>
      <c r="E35" s="89" t="s">
        <v>166</v>
      </c>
      <c r="F35" s="101" t="s">
        <v>225</v>
      </c>
      <c r="G35" s="102">
        <v>0</v>
      </c>
    </row>
    <row r="36" spans="1:7" x14ac:dyDescent="0.25">
      <c r="A36" s="89" t="s">
        <v>166</v>
      </c>
      <c r="B36" s="101" t="s">
        <v>226</v>
      </c>
      <c r="C36" s="102">
        <v>1</v>
      </c>
      <c r="E36" s="89" t="s">
        <v>166</v>
      </c>
      <c r="F36" s="101" t="s">
        <v>227</v>
      </c>
      <c r="G36" s="102">
        <v>4</v>
      </c>
    </row>
    <row r="37" spans="1:7" x14ac:dyDescent="0.25">
      <c r="A37" s="89" t="s">
        <v>166</v>
      </c>
      <c r="B37" s="101" t="s">
        <v>228</v>
      </c>
      <c r="C37" s="102">
        <v>100</v>
      </c>
      <c r="E37" s="89" t="s">
        <v>166</v>
      </c>
      <c r="F37" s="101" t="s">
        <v>229</v>
      </c>
      <c r="G37" s="102">
        <v>2</v>
      </c>
    </row>
    <row r="38" spans="1:7" x14ac:dyDescent="0.25">
      <c r="A38" s="89" t="s">
        <v>166</v>
      </c>
      <c r="B38" s="101" t="s">
        <v>230</v>
      </c>
      <c r="C38" s="102">
        <v>1</v>
      </c>
      <c r="E38" s="89" t="s">
        <v>166</v>
      </c>
      <c r="F38" s="101" t="s">
        <v>231</v>
      </c>
      <c r="G38" s="102">
        <v>3</v>
      </c>
    </row>
    <row r="39" spans="1:7" x14ac:dyDescent="0.25">
      <c r="A39" s="89" t="s">
        <v>232</v>
      </c>
      <c r="B39" s="101" t="s">
        <v>233</v>
      </c>
      <c r="C39" s="102">
        <v>0</v>
      </c>
      <c r="E39" s="89" t="s">
        <v>166</v>
      </c>
      <c r="F39" s="101" t="s">
        <v>217</v>
      </c>
      <c r="G39" s="102">
        <v>0</v>
      </c>
    </row>
    <row r="40" spans="1:7" x14ac:dyDescent="0.25">
      <c r="A40" s="89" t="s">
        <v>166</v>
      </c>
      <c r="B40" s="101" t="s">
        <v>234</v>
      </c>
      <c r="C40" s="102">
        <v>0</v>
      </c>
      <c r="E40" s="89" t="s">
        <v>166</v>
      </c>
      <c r="F40" s="101" t="s">
        <v>235</v>
      </c>
      <c r="G40" s="102">
        <v>1</v>
      </c>
    </row>
    <row r="41" spans="1:7" x14ac:dyDescent="0.25">
      <c r="A41" s="89" t="s">
        <v>166</v>
      </c>
      <c r="B41" s="101" t="s">
        <v>236</v>
      </c>
      <c r="C41" s="102">
        <v>1</v>
      </c>
      <c r="E41" s="89" t="s">
        <v>166</v>
      </c>
      <c r="F41" s="101" t="s">
        <v>237</v>
      </c>
      <c r="G41" s="102">
        <v>0</v>
      </c>
    </row>
    <row r="42" spans="1:7" x14ac:dyDescent="0.25">
      <c r="A42" s="89" t="s">
        <v>166</v>
      </c>
      <c r="B42" s="101" t="s">
        <v>238</v>
      </c>
      <c r="C42" s="102">
        <v>1</v>
      </c>
      <c r="E42" s="89" t="s">
        <v>166</v>
      </c>
      <c r="F42" s="101" t="s">
        <v>239</v>
      </c>
      <c r="G42" s="102">
        <v>0</v>
      </c>
    </row>
    <row r="43" spans="1:7" x14ac:dyDescent="0.25">
      <c r="A43" s="89" t="s">
        <v>166</v>
      </c>
      <c r="B43" s="101" t="s">
        <v>240</v>
      </c>
      <c r="C43" s="102">
        <v>0</v>
      </c>
      <c r="E43" s="89" t="s">
        <v>166</v>
      </c>
      <c r="F43" s="101" t="s">
        <v>241</v>
      </c>
      <c r="G43" s="102">
        <v>0</v>
      </c>
    </row>
    <row r="44" spans="1:7" x14ac:dyDescent="0.25">
      <c r="A44" s="89" t="s">
        <v>175</v>
      </c>
      <c r="B44" s="101" t="s">
        <v>242</v>
      </c>
      <c r="C44" s="103">
        <v>0</v>
      </c>
      <c r="E44" s="89" t="s">
        <v>166</v>
      </c>
      <c r="F44" s="101" t="s">
        <v>197</v>
      </c>
      <c r="G44" s="102">
        <v>1</v>
      </c>
    </row>
    <row r="45" spans="1:7" x14ac:dyDescent="0.25">
      <c r="A45" s="89" t="s">
        <v>168</v>
      </c>
      <c r="B45" s="101" t="s">
        <v>243</v>
      </c>
      <c r="C45" s="103">
        <v>0</v>
      </c>
      <c r="E45" s="89" t="s">
        <v>166</v>
      </c>
      <c r="F45" s="101" t="s">
        <v>244</v>
      </c>
      <c r="G45" s="102">
        <v>3</v>
      </c>
    </row>
    <row r="46" spans="1:7" x14ac:dyDescent="0.25">
      <c r="A46" s="89" t="s">
        <v>166</v>
      </c>
      <c r="B46" s="101" t="s">
        <v>245</v>
      </c>
      <c r="C46" s="102">
        <v>1</v>
      </c>
      <c r="E46" s="89" t="s">
        <v>166</v>
      </c>
      <c r="F46" s="101" t="s">
        <v>246</v>
      </c>
      <c r="G46" s="102">
        <v>0</v>
      </c>
    </row>
    <row r="47" spans="1:7" x14ac:dyDescent="0.25">
      <c r="E47" s="81"/>
      <c r="F47" s="96"/>
      <c r="G47" s="81"/>
    </row>
    <row r="48" spans="1:7" x14ac:dyDescent="0.25">
      <c r="E48" s="81"/>
      <c r="F48" s="96"/>
      <c r="G48" s="81"/>
    </row>
    <row r="49" spans="1:7" x14ac:dyDescent="0.25">
      <c r="E49" s="81"/>
      <c r="F49" s="96"/>
      <c r="G49" s="81"/>
    </row>
    <row r="52" spans="1:7" ht="18.75" x14ac:dyDescent="0.3">
      <c r="B52" s="105" t="s">
        <v>247</v>
      </c>
      <c r="C52" s="105"/>
      <c r="D52" s="105"/>
      <c r="E52" s="105"/>
      <c r="F52" s="105"/>
      <c r="G52" s="97"/>
    </row>
    <row r="53" spans="1:7" x14ac:dyDescent="0.25">
      <c r="A53" s="119" t="s">
        <v>248</v>
      </c>
      <c r="B53" s="119"/>
      <c r="C53" s="119"/>
      <c r="E53" s="119" t="s">
        <v>249</v>
      </c>
      <c r="F53" s="119"/>
      <c r="G53" s="119"/>
    </row>
    <row r="54" spans="1:7" x14ac:dyDescent="0.25">
      <c r="A54" s="99" t="s">
        <v>164</v>
      </c>
      <c r="B54" s="100" t="s">
        <v>0</v>
      </c>
      <c r="C54" s="99" t="s">
        <v>165</v>
      </c>
      <c r="E54" s="99" t="s">
        <v>164</v>
      </c>
      <c r="F54" s="100" t="s">
        <v>0</v>
      </c>
      <c r="G54" s="99" t="s">
        <v>165</v>
      </c>
    </row>
    <row r="55" spans="1:7" x14ac:dyDescent="0.25">
      <c r="A55" s="89" t="s">
        <v>166</v>
      </c>
      <c r="B55" s="101" t="s">
        <v>250</v>
      </c>
      <c r="C55" s="102">
        <v>0</v>
      </c>
      <c r="E55" s="89" t="s">
        <v>166</v>
      </c>
      <c r="F55" s="101" t="s">
        <v>251</v>
      </c>
      <c r="G55" s="102">
        <v>10</v>
      </c>
    </row>
    <row r="56" spans="1:7" x14ac:dyDescent="0.25">
      <c r="A56" s="89" t="s">
        <v>166</v>
      </c>
      <c r="B56" s="101" t="s">
        <v>252</v>
      </c>
      <c r="C56" s="102">
        <v>0</v>
      </c>
      <c r="E56" s="89" t="s">
        <v>168</v>
      </c>
      <c r="F56" s="101" t="s">
        <v>253</v>
      </c>
      <c r="G56" s="102">
        <v>20</v>
      </c>
    </row>
    <row r="57" spans="1:7" x14ac:dyDescent="0.25">
      <c r="A57" s="89" t="s">
        <v>166</v>
      </c>
      <c r="B57" s="101" t="s">
        <v>254</v>
      </c>
      <c r="C57" s="102">
        <v>0</v>
      </c>
      <c r="E57" s="89" t="s">
        <v>168</v>
      </c>
      <c r="F57" s="101" t="s">
        <v>255</v>
      </c>
      <c r="G57" s="102">
        <v>28</v>
      </c>
    </row>
    <row r="58" spans="1:7" x14ac:dyDescent="0.25">
      <c r="A58" s="89" t="s">
        <v>166</v>
      </c>
      <c r="B58" s="101" t="s">
        <v>256</v>
      </c>
      <c r="C58" s="102">
        <v>0</v>
      </c>
      <c r="E58" s="89" t="s">
        <v>168</v>
      </c>
      <c r="F58" s="101" t="s">
        <v>257</v>
      </c>
      <c r="G58" s="102">
        <v>24</v>
      </c>
    </row>
    <row r="59" spans="1:7" x14ac:dyDescent="0.25">
      <c r="A59" s="89" t="s">
        <v>166</v>
      </c>
      <c r="B59" s="101" t="s">
        <v>258</v>
      </c>
      <c r="C59" s="102">
        <v>2</v>
      </c>
      <c r="E59" s="89" t="s">
        <v>168</v>
      </c>
      <c r="F59" s="101" t="s">
        <v>259</v>
      </c>
      <c r="G59" s="102">
        <v>16</v>
      </c>
    </row>
    <row r="60" spans="1:7" x14ac:dyDescent="0.25">
      <c r="A60" s="89" t="s">
        <v>166</v>
      </c>
      <c r="B60" s="101" t="s">
        <v>260</v>
      </c>
      <c r="C60" s="102">
        <v>0</v>
      </c>
      <c r="E60" s="89" t="s">
        <v>168</v>
      </c>
      <c r="F60" s="101" t="s">
        <v>261</v>
      </c>
      <c r="G60" s="102">
        <v>14</v>
      </c>
    </row>
    <row r="61" spans="1:7" x14ac:dyDescent="0.25">
      <c r="A61" s="89" t="s">
        <v>166</v>
      </c>
      <c r="B61" s="101" t="s">
        <v>262</v>
      </c>
      <c r="C61" s="102">
        <v>0</v>
      </c>
      <c r="E61" s="89" t="s">
        <v>168</v>
      </c>
      <c r="F61" s="101" t="s">
        <v>263</v>
      </c>
      <c r="G61" s="102">
        <v>22</v>
      </c>
    </row>
    <row r="62" spans="1:7" x14ac:dyDescent="0.25">
      <c r="A62" s="89" t="s">
        <v>166</v>
      </c>
      <c r="B62" s="101" t="s">
        <v>264</v>
      </c>
      <c r="C62" s="106">
        <v>0</v>
      </c>
      <c r="E62" s="89" t="s">
        <v>168</v>
      </c>
      <c r="F62" s="101" t="s">
        <v>265</v>
      </c>
      <c r="G62" s="87">
        <v>12.5</v>
      </c>
    </row>
    <row r="63" spans="1:7" x14ac:dyDescent="0.25">
      <c r="A63" s="89" t="s">
        <v>166</v>
      </c>
      <c r="B63" s="101" t="s">
        <v>266</v>
      </c>
      <c r="C63" s="102">
        <v>0</v>
      </c>
      <c r="E63" s="89" t="s">
        <v>166</v>
      </c>
      <c r="F63" s="101" t="s">
        <v>267</v>
      </c>
      <c r="G63" s="87">
        <v>1</v>
      </c>
    </row>
    <row r="64" spans="1:7" x14ac:dyDescent="0.25">
      <c r="A64" s="89" t="s">
        <v>166</v>
      </c>
      <c r="B64" s="101" t="s">
        <v>268</v>
      </c>
      <c r="C64" s="106">
        <v>0</v>
      </c>
      <c r="E64" s="89" t="s">
        <v>168</v>
      </c>
      <c r="F64" s="101" t="s">
        <v>269</v>
      </c>
      <c r="G64" s="103">
        <v>7</v>
      </c>
    </row>
    <row r="65" spans="1:7" x14ac:dyDescent="0.25">
      <c r="A65" s="89" t="s">
        <v>166</v>
      </c>
      <c r="B65" s="101" t="s">
        <v>270</v>
      </c>
      <c r="C65" s="102">
        <v>0</v>
      </c>
      <c r="E65" s="89" t="s">
        <v>271</v>
      </c>
      <c r="F65" s="101" t="s">
        <v>272</v>
      </c>
      <c r="G65" s="102">
        <v>4</v>
      </c>
    </row>
    <row r="66" spans="1:7" x14ac:dyDescent="0.25">
      <c r="A66" s="89" t="s">
        <v>166</v>
      </c>
      <c r="B66" s="101" t="s">
        <v>273</v>
      </c>
      <c r="C66" s="102">
        <v>0</v>
      </c>
      <c r="E66" s="89" t="s">
        <v>271</v>
      </c>
      <c r="F66" s="101" t="s">
        <v>274</v>
      </c>
      <c r="G66" s="102">
        <v>1</v>
      </c>
    </row>
    <row r="67" spans="1:7" x14ac:dyDescent="0.25">
      <c r="A67" s="89" t="s">
        <v>166</v>
      </c>
      <c r="B67" s="101" t="s">
        <v>275</v>
      </c>
      <c r="C67" s="102">
        <v>13</v>
      </c>
      <c r="E67" s="89" t="s">
        <v>185</v>
      </c>
      <c r="F67" s="101" t="s">
        <v>276</v>
      </c>
      <c r="G67" s="102">
        <v>1</v>
      </c>
    </row>
    <row r="68" spans="1:7" x14ac:dyDescent="0.25">
      <c r="A68" s="89"/>
      <c r="B68" s="101"/>
      <c r="C68" s="102"/>
      <c r="E68" s="89" t="s">
        <v>277</v>
      </c>
      <c r="F68" s="101" t="s">
        <v>278</v>
      </c>
      <c r="G68" s="102">
        <v>0</v>
      </c>
    </row>
    <row r="69" spans="1:7" x14ac:dyDescent="0.25">
      <c r="A69" s="89"/>
      <c r="B69" s="101"/>
      <c r="C69" s="102"/>
      <c r="E69" s="89" t="s">
        <v>166</v>
      </c>
      <c r="F69" s="101" t="s">
        <v>279</v>
      </c>
      <c r="G69" s="102">
        <v>650</v>
      </c>
    </row>
    <row r="70" spans="1:7" x14ac:dyDescent="0.25">
      <c r="A70" s="89"/>
      <c r="B70" s="101"/>
      <c r="C70" s="102"/>
      <c r="E70" s="89" t="s">
        <v>166</v>
      </c>
      <c r="F70" s="101" t="s">
        <v>280</v>
      </c>
      <c r="G70" s="102">
        <v>1</v>
      </c>
    </row>
    <row r="71" spans="1:7" x14ac:dyDescent="0.25">
      <c r="A71" s="89"/>
      <c r="B71" s="101"/>
      <c r="C71" s="102"/>
      <c r="E71" s="89" t="s">
        <v>166</v>
      </c>
      <c r="F71" s="101" t="s">
        <v>281</v>
      </c>
      <c r="G71" s="102">
        <v>0</v>
      </c>
    </row>
    <row r="72" spans="1:7" x14ac:dyDescent="0.25">
      <c r="A72" s="89"/>
      <c r="B72" s="101"/>
      <c r="C72" s="102"/>
      <c r="E72" s="89" t="s">
        <v>166</v>
      </c>
      <c r="F72" s="101" t="s">
        <v>282</v>
      </c>
      <c r="G72" s="102">
        <v>0</v>
      </c>
    </row>
    <row r="73" spans="1:7" x14ac:dyDescent="0.25">
      <c r="A73" s="89"/>
      <c r="B73" s="101"/>
      <c r="C73" s="102"/>
      <c r="E73" s="89" t="s">
        <v>166</v>
      </c>
      <c r="F73" s="101" t="s">
        <v>283</v>
      </c>
      <c r="G73" s="102">
        <v>0</v>
      </c>
    </row>
    <row r="74" spans="1:7" x14ac:dyDescent="0.25">
      <c r="A74" s="89"/>
      <c r="B74" s="101"/>
      <c r="C74" s="102"/>
      <c r="E74" s="89" t="s">
        <v>166</v>
      </c>
      <c r="F74" s="101" t="s">
        <v>284</v>
      </c>
      <c r="G74" s="102">
        <v>0</v>
      </c>
    </row>
    <row r="75" spans="1:7" x14ac:dyDescent="0.25">
      <c r="A75" s="89"/>
      <c r="B75" s="101"/>
      <c r="C75" s="103"/>
      <c r="E75" s="89" t="s">
        <v>166</v>
      </c>
      <c r="F75" s="101" t="s">
        <v>285</v>
      </c>
      <c r="G75" s="102">
        <v>1</v>
      </c>
    </row>
    <row r="76" spans="1:7" x14ac:dyDescent="0.25">
      <c r="A76" s="89"/>
      <c r="B76" s="101"/>
      <c r="C76" s="102"/>
      <c r="E76" s="89" t="s">
        <v>166</v>
      </c>
      <c r="F76" s="101" t="s">
        <v>286</v>
      </c>
      <c r="G76" s="102">
        <v>0</v>
      </c>
    </row>
    <row r="77" spans="1:7" x14ac:dyDescent="0.25">
      <c r="A77" s="89"/>
      <c r="B77" s="101"/>
      <c r="C77" s="102"/>
      <c r="E77" s="89" t="s">
        <v>166</v>
      </c>
      <c r="F77" s="101" t="s">
        <v>287</v>
      </c>
      <c r="G77" s="102">
        <v>0</v>
      </c>
    </row>
    <row r="78" spans="1:7" x14ac:dyDescent="0.25">
      <c r="A78" s="89"/>
      <c r="B78" s="101"/>
      <c r="C78" s="102"/>
      <c r="E78" s="89" t="s">
        <v>166</v>
      </c>
      <c r="F78" s="101" t="s">
        <v>288</v>
      </c>
      <c r="G78" s="102">
        <v>0</v>
      </c>
    </row>
    <row r="79" spans="1:7" x14ac:dyDescent="0.25">
      <c r="A79" s="89"/>
      <c r="B79" s="101"/>
      <c r="C79" s="102"/>
      <c r="E79" s="89" t="s">
        <v>166</v>
      </c>
      <c r="F79" s="101" t="s">
        <v>289</v>
      </c>
      <c r="G79" s="102">
        <v>4</v>
      </c>
    </row>
    <row r="80" spans="1:7" x14ac:dyDescent="0.25">
      <c r="A80" s="89"/>
      <c r="B80" s="101"/>
      <c r="C80" s="102"/>
      <c r="E80" s="89" t="s">
        <v>166</v>
      </c>
      <c r="F80" s="101" t="s">
        <v>290</v>
      </c>
      <c r="G80" s="102">
        <v>1</v>
      </c>
    </row>
    <row r="81" spans="1:7" x14ac:dyDescent="0.25">
      <c r="A81" s="89"/>
      <c r="B81" s="101"/>
      <c r="C81" s="102"/>
      <c r="E81" s="89" t="s">
        <v>166</v>
      </c>
      <c r="F81" s="101" t="s">
        <v>291</v>
      </c>
      <c r="G81" s="102">
        <v>0</v>
      </c>
    </row>
    <row r="82" spans="1:7" x14ac:dyDescent="0.25">
      <c r="A82" s="89"/>
      <c r="B82" s="101"/>
      <c r="C82" s="102"/>
      <c r="E82" s="89" t="s">
        <v>166</v>
      </c>
      <c r="F82" s="101" t="s">
        <v>292</v>
      </c>
      <c r="G82" s="102">
        <v>1</v>
      </c>
    </row>
    <row r="83" spans="1:7" x14ac:dyDescent="0.25">
      <c r="A83" s="89"/>
      <c r="B83" s="101"/>
      <c r="C83" s="102"/>
      <c r="E83" s="89" t="s">
        <v>166</v>
      </c>
      <c r="F83" s="101" t="s">
        <v>293</v>
      </c>
      <c r="G83" s="102">
        <v>0</v>
      </c>
    </row>
    <row r="84" spans="1:7" x14ac:dyDescent="0.25">
      <c r="A84" s="89"/>
      <c r="B84" s="101"/>
      <c r="C84" s="102"/>
      <c r="E84" s="89" t="s">
        <v>166</v>
      </c>
      <c r="F84" s="101" t="s">
        <v>294</v>
      </c>
      <c r="G84" s="102">
        <v>2</v>
      </c>
    </row>
    <row r="85" spans="1:7" x14ac:dyDescent="0.25">
      <c r="A85" s="89"/>
      <c r="B85" s="101"/>
      <c r="C85" s="102"/>
      <c r="D85" s="107"/>
      <c r="E85" s="89" t="s">
        <v>166</v>
      </c>
      <c r="F85" s="101" t="s">
        <v>295</v>
      </c>
      <c r="G85" s="102">
        <v>0</v>
      </c>
    </row>
    <row r="86" spans="1:7" x14ac:dyDescent="0.25">
      <c r="A86" s="89"/>
      <c r="B86" s="101"/>
      <c r="C86" s="102"/>
      <c r="E86" s="89" t="s">
        <v>166</v>
      </c>
      <c r="F86" s="101" t="s">
        <v>296</v>
      </c>
      <c r="G86" s="102">
        <v>2</v>
      </c>
    </row>
    <row r="87" spans="1:7" x14ac:dyDescent="0.25">
      <c r="A87" s="89"/>
      <c r="B87" s="101"/>
      <c r="C87" s="102"/>
      <c r="E87" s="89" t="s">
        <v>166</v>
      </c>
      <c r="F87" s="101" t="s">
        <v>297</v>
      </c>
      <c r="G87" s="102">
        <v>3</v>
      </c>
    </row>
    <row r="88" spans="1:7" x14ac:dyDescent="0.25">
      <c r="A88" s="89"/>
      <c r="B88" s="101"/>
      <c r="C88" s="102"/>
      <c r="E88" s="89" t="s">
        <v>166</v>
      </c>
      <c r="F88" s="101" t="s">
        <v>298</v>
      </c>
      <c r="G88" s="102">
        <v>1</v>
      </c>
    </row>
    <row r="89" spans="1:7" x14ac:dyDescent="0.25">
      <c r="A89" s="89"/>
      <c r="B89" s="101"/>
      <c r="C89" s="102"/>
      <c r="E89" s="89" t="s">
        <v>166</v>
      </c>
      <c r="F89" s="101" t="s">
        <v>299</v>
      </c>
      <c r="G89" s="102">
        <v>3</v>
      </c>
    </row>
    <row r="90" spans="1:7" x14ac:dyDescent="0.25">
      <c r="A90" s="89"/>
      <c r="B90" s="101"/>
      <c r="C90" s="102"/>
      <c r="E90" s="89" t="s">
        <v>166</v>
      </c>
      <c r="F90" s="101" t="s">
        <v>300</v>
      </c>
      <c r="G90" s="102">
        <v>1</v>
      </c>
    </row>
    <row r="91" spans="1:7" x14ac:dyDescent="0.25">
      <c r="A91" s="89"/>
      <c r="B91" s="101"/>
      <c r="C91" s="102"/>
      <c r="E91" s="89" t="s">
        <v>166</v>
      </c>
      <c r="F91" s="101" t="s">
        <v>301</v>
      </c>
      <c r="G91" s="102">
        <v>2</v>
      </c>
    </row>
    <row r="92" spans="1:7" x14ac:dyDescent="0.25">
      <c r="A92" s="89"/>
      <c r="B92" s="101"/>
      <c r="C92" s="102"/>
    </row>
    <row r="98" spans="1:7" ht="18.75" customHeight="1" x14ac:dyDescent="0.3">
      <c r="B98" s="105" t="s">
        <v>162</v>
      </c>
      <c r="C98" s="105"/>
      <c r="D98" s="105"/>
      <c r="E98" s="105"/>
      <c r="F98" s="105"/>
      <c r="G98" s="97"/>
    </row>
    <row r="99" spans="1:7" x14ac:dyDescent="0.25">
      <c r="A99" s="119" t="s">
        <v>302</v>
      </c>
      <c r="B99" s="119"/>
      <c r="C99" s="119"/>
      <c r="D99" s="98"/>
      <c r="E99" s="119" t="s">
        <v>302</v>
      </c>
      <c r="F99" s="119"/>
      <c r="G99" s="119"/>
    </row>
    <row r="100" spans="1:7" x14ac:dyDescent="0.25">
      <c r="A100" s="99" t="s">
        <v>164</v>
      </c>
      <c r="B100" s="100" t="s">
        <v>0</v>
      </c>
      <c r="C100" s="99" t="s">
        <v>165</v>
      </c>
      <c r="E100" s="99" t="s">
        <v>164</v>
      </c>
      <c r="F100" s="100" t="s">
        <v>0</v>
      </c>
      <c r="G100" s="99" t="s">
        <v>165</v>
      </c>
    </row>
    <row r="101" spans="1:7" x14ac:dyDescent="0.25">
      <c r="A101" s="89" t="s">
        <v>166</v>
      </c>
      <c r="B101" s="101" t="s">
        <v>303</v>
      </c>
      <c r="C101" s="102">
        <v>276</v>
      </c>
      <c r="E101" s="89" t="s">
        <v>166</v>
      </c>
      <c r="F101" s="101" t="s">
        <v>304</v>
      </c>
      <c r="G101" s="102">
        <v>85</v>
      </c>
    </row>
    <row r="102" spans="1:7" x14ac:dyDescent="0.25">
      <c r="A102" s="89" t="s">
        <v>166</v>
      </c>
      <c r="B102" s="101" t="s">
        <v>305</v>
      </c>
      <c r="C102" s="102">
        <v>1</v>
      </c>
      <c r="E102" s="89" t="s">
        <v>166</v>
      </c>
      <c r="F102" s="101" t="s">
        <v>306</v>
      </c>
      <c r="G102" s="102">
        <v>10</v>
      </c>
    </row>
    <row r="103" spans="1:7" x14ac:dyDescent="0.25">
      <c r="A103" s="89" t="s">
        <v>166</v>
      </c>
      <c r="B103" s="101" t="s">
        <v>307</v>
      </c>
      <c r="C103" s="102">
        <v>18</v>
      </c>
      <c r="E103" s="89" t="s">
        <v>166</v>
      </c>
      <c r="F103" s="101" t="s">
        <v>308</v>
      </c>
      <c r="G103" s="102">
        <v>1</v>
      </c>
    </row>
    <row r="104" spans="1:7" x14ac:dyDescent="0.25">
      <c r="A104" s="89" t="s">
        <v>166</v>
      </c>
      <c r="B104" s="101" t="s">
        <v>309</v>
      </c>
      <c r="C104" s="102">
        <v>50</v>
      </c>
      <c r="E104" s="89" t="s">
        <v>166</v>
      </c>
      <c r="F104" s="101" t="s">
        <v>310</v>
      </c>
      <c r="G104" s="102">
        <v>2</v>
      </c>
    </row>
    <row r="105" spans="1:7" x14ac:dyDescent="0.25">
      <c r="A105" s="89" t="s">
        <v>311</v>
      </c>
      <c r="B105" s="101" t="s">
        <v>312</v>
      </c>
      <c r="C105" s="102">
        <v>1</v>
      </c>
      <c r="E105" s="89" t="s">
        <v>166</v>
      </c>
      <c r="F105" s="101" t="s">
        <v>313</v>
      </c>
      <c r="G105" s="102">
        <v>1</v>
      </c>
    </row>
    <row r="106" spans="1:7" x14ac:dyDescent="0.25">
      <c r="A106" s="89" t="s">
        <v>311</v>
      </c>
      <c r="B106" s="101" t="s">
        <v>314</v>
      </c>
      <c r="C106" s="102">
        <v>1</v>
      </c>
      <c r="E106" s="89" t="s">
        <v>166</v>
      </c>
      <c r="F106" s="101" t="s">
        <v>315</v>
      </c>
      <c r="G106" s="102">
        <v>4</v>
      </c>
    </row>
    <row r="107" spans="1:7" x14ac:dyDescent="0.25">
      <c r="A107" s="89" t="s">
        <v>175</v>
      </c>
      <c r="B107" s="101" t="s">
        <v>316</v>
      </c>
      <c r="C107" s="102">
        <v>18</v>
      </c>
      <c r="E107" s="89" t="s">
        <v>166</v>
      </c>
      <c r="F107" s="101" t="s">
        <v>317</v>
      </c>
      <c r="G107" s="102">
        <v>4</v>
      </c>
    </row>
    <row r="108" spans="1:7" x14ac:dyDescent="0.25">
      <c r="A108" s="89" t="s">
        <v>175</v>
      </c>
      <c r="B108" s="101" t="s">
        <v>318</v>
      </c>
      <c r="C108" s="102">
        <v>13</v>
      </c>
      <c r="E108" s="89" t="s">
        <v>166</v>
      </c>
      <c r="F108" s="101" t="s">
        <v>319</v>
      </c>
      <c r="G108" s="102">
        <v>0</v>
      </c>
    </row>
    <row r="109" spans="1:7" x14ac:dyDescent="0.25">
      <c r="A109" s="89" t="s">
        <v>166</v>
      </c>
      <c r="B109" s="101" t="s">
        <v>320</v>
      </c>
      <c r="C109" s="102">
        <v>1</v>
      </c>
      <c r="E109" s="89" t="s">
        <v>321</v>
      </c>
      <c r="F109" s="101" t="s">
        <v>322</v>
      </c>
      <c r="G109" s="102">
        <v>6</v>
      </c>
    </row>
    <row r="110" spans="1:7" x14ac:dyDescent="0.25">
      <c r="A110" s="89" t="s">
        <v>166</v>
      </c>
      <c r="B110" s="101" t="s">
        <v>323</v>
      </c>
      <c r="C110" s="102">
        <v>10</v>
      </c>
      <c r="E110" s="89" t="s">
        <v>321</v>
      </c>
      <c r="F110" s="101" t="s">
        <v>324</v>
      </c>
      <c r="G110" s="102">
        <v>7</v>
      </c>
    </row>
    <row r="111" spans="1:7" x14ac:dyDescent="0.25">
      <c r="A111" s="89" t="s">
        <v>166</v>
      </c>
      <c r="B111" s="101" t="s">
        <v>325</v>
      </c>
      <c r="C111" s="102">
        <v>0</v>
      </c>
      <c r="E111" s="89" t="s">
        <v>166</v>
      </c>
      <c r="F111" s="101" t="s">
        <v>326</v>
      </c>
      <c r="G111" s="102">
        <v>55</v>
      </c>
    </row>
    <row r="112" spans="1:7" x14ac:dyDescent="0.25">
      <c r="A112" s="89" t="s">
        <v>166</v>
      </c>
      <c r="B112" s="101" t="s">
        <v>327</v>
      </c>
      <c r="C112" s="102">
        <v>18</v>
      </c>
      <c r="E112" s="89" t="s">
        <v>166</v>
      </c>
      <c r="F112" s="101" t="s">
        <v>328</v>
      </c>
      <c r="G112" s="102">
        <v>2300</v>
      </c>
    </row>
    <row r="113" spans="1:7" x14ac:dyDescent="0.25">
      <c r="A113" s="89" t="s">
        <v>166</v>
      </c>
      <c r="B113" s="101" t="s">
        <v>329</v>
      </c>
      <c r="C113" s="102">
        <v>0</v>
      </c>
      <c r="E113" s="89" t="s">
        <v>166</v>
      </c>
      <c r="F113" s="101" t="s">
        <v>330</v>
      </c>
      <c r="G113" s="102">
        <v>0</v>
      </c>
    </row>
    <row r="114" spans="1:7" x14ac:dyDescent="0.25">
      <c r="A114" s="89" t="s">
        <v>166</v>
      </c>
      <c r="B114" s="101" t="s">
        <v>331</v>
      </c>
      <c r="C114" s="102">
        <v>0</v>
      </c>
      <c r="E114" s="89"/>
      <c r="F114" s="101"/>
      <c r="G114" s="102"/>
    </row>
    <row r="115" spans="1:7" x14ac:dyDescent="0.25">
      <c r="A115" s="89" t="s">
        <v>166</v>
      </c>
      <c r="B115" s="101" t="s">
        <v>332</v>
      </c>
      <c r="C115" s="102">
        <v>5</v>
      </c>
      <c r="E115" s="89"/>
      <c r="F115" s="101"/>
      <c r="G115" s="102"/>
    </row>
    <row r="116" spans="1:7" x14ac:dyDescent="0.25">
      <c r="A116" s="89" t="s">
        <v>166</v>
      </c>
      <c r="B116" s="101" t="s">
        <v>333</v>
      </c>
      <c r="C116" s="102">
        <v>45</v>
      </c>
      <c r="E116" s="89"/>
      <c r="F116" s="101"/>
      <c r="G116" s="102"/>
    </row>
    <row r="117" spans="1:7" x14ac:dyDescent="0.25">
      <c r="A117" s="89" t="s">
        <v>166</v>
      </c>
      <c r="B117" s="101" t="s">
        <v>334</v>
      </c>
      <c r="C117" s="102">
        <v>17</v>
      </c>
      <c r="E117" s="89"/>
      <c r="F117" s="101"/>
      <c r="G117" s="102"/>
    </row>
    <row r="118" spans="1:7" x14ac:dyDescent="0.25">
      <c r="A118" s="89" t="s">
        <v>166</v>
      </c>
      <c r="B118" s="101" t="s">
        <v>335</v>
      </c>
      <c r="C118" s="102">
        <v>1800</v>
      </c>
      <c r="E118" s="89"/>
      <c r="F118" s="101"/>
      <c r="G118" s="102"/>
    </row>
    <row r="119" spans="1:7" x14ac:dyDescent="0.25">
      <c r="A119" s="89" t="s">
        <v>166</v>
      </c>
      <c r="B119" s="101" t="s">
        <v>336</v>
      </c>
      <c r="C119" s="102">
        <v>0</v>
      </c>
      <c r="E119" s="89"/>
      <c r="F119" s="101"/>
      <c r="G119" s="102"/>
    </row>
    <row r="120" spans="1:7" x14ac:dyDescent="0.25">
      <c r="A120" s="89" t="s">
        <v>166</v>
      </c>
      <c r="B120" s="101" t="s">
        <v>337</v>
      </c>
      <c r="C120" s="102">
        <v>1</v>
      </c>
      <c r="E120" s="89"/>
      <c r="F120" s="101"/>
      <c r="G120" s="102"/>
    </row>
    <row r="121" spans="1:7" x14ac:dyDescent="0.25">
      <c r="A121" s="89" t="s">
        <v>166</v>
      </c>
      <c r="B121" s="101" t="s">
        <v>338</v>
      </c>
      <c r="C121" s="102">
        <v>15</v>
      </c>
      <c r="E121" s="89"/>
      <c r="F121" s="101"/>
      <c r="G121" s="102"/>
    </row>
    <row r="122" spans="1:7" x14ac:dyDescent="0.25">
      <c r="A122" s="89" t="s">
        <v>166</v>
      </c>
      <c r="B122" s="101" t="s">
        <v>339</v>
      </c>
      <c r="C122" s="102">
        <v>30</v>
      </c>
      <c r="E122" s="89"/>
      <c r="F122" s="101"/>
      <c r="G122" s="102"/>
    </row>
    <row r="123" spans="1:7" x14ac:dyDescent="0.25">
      <c r="A123" s="89" t="s">
        <v>166</v>
      </c>
      <c r="B123" s="101" t="s">
        <v>340</v>
      </c>
      <c r="C123" s="102">
        <v>22</v>
      </c>
      <c r="E123" s="89"/>
      <c r="F123" s="101"/>
      <c r="G123" s="102"/>
    </row>
    <row r="124" spans="1:7" x14ac:dyDescent="0.25">
      <c r="A124" s="89" t="s">
        <v>166</v>
      </c>
      <c r="B124" s="101" t="s">
        <v>341</v>
      </c>
      <c r="C124" s="102">
        <v>3</v>
      </c>
      <c r="E124" s="89"/>
      <c r="F124" s="101"/>
      <c r="G124" s="102"/>
    </row>
    <row r="125" spans="1:7" x14ac:dyDescent="0.25">
      <c r="A125" s="89" t="s">
        <v>321</v>
      </c>
      <c r="B125" s="101" t="s">
        <v>342</v>
      </c>
      <c r="C125" s="102">
        <v>4</v>
      </c>
      <c r="E125" s="89"/>
      <c r="F125" s="101"/>
      <c r="G125" s="102"/>
    </row>
    <row r="126" spans="1:7" x14ac:dyDescent="0.25">
      <c r="A126" s="89" t="s">
        <v>321</v>
      </c>
      <c r="B126" s="101" t="s">
        <v>343</v>
      </c>
      <c r="C126" s="103">
        <v>0</v>
      </c>
      <c r="E126" s="89"/>
      <c r="F126" s="101"/>
      <c r="G126" s="102"/>
    </row>
    <row r="127" spans="1:7" x14ac:dyDescent="0.25">
      <c r="A127" s="89" t="s">
        <v>166</v>
      </c>
      <c r="B127" s="101" t="s">
        <v>344</v>
      </c>
      <c r="C127" s="102">
        <v>0</v>
      </c>
      <c r="E127" s="89"/>
      <c r="F127" s="101"/>
      <c r="G127" s="102"/>
    </row>
    <row r="128" spans="1:7" x14ac:dyDescent="0.25">
      <c r="A128" s="89" t="s">
        <v>166</v>
      </c>
      <c r="B128" s="101" t="s">
        <v>345</v>
      </c>
      <c r="C128" s="102">
        <v>0</v>
      </c>
      <c r="E128" s="89"/>
      <c r="F128" s="101"/>
      <c r="G128" s="102"/>
    </row>
    <row r="129" spans="1:7" x14ac:dyDescent="0.25">
      <c r="A129" s="89" t="s">
        <v>166</v>
      </c>
      <c r="B129" s="101" t="s">
        <v>346</v>
      </c>
      <c r="C129" s="102">
        <v>72</v>
      </c>
      <c r="E129" s="89"/>
      <c r="F129" s="101"/>
      <c r="G129" s="102"/>
    </row>
    <row r="130" spans="1:7" x14ac:dyDescent="0.25">
      <c r="A130" s="89" t="s">
        <v>166</v>
      </c>
      <c r="B130" s="101" t="s">
        <v>347</v>
      </c>
      <c r="C130" s="102">
        <v>3</v>
      </c>
      <c r="E130" s="89"/>
      <c r="F130" s="101"/>
      <c r="G130" s="102"/>
    </row>
    <row r="131" spans="1:7" x14ac:dyDescent="0.25">
      <c r="A131" s="89" t="s">
        <v>166</v>
      </c>
      <c r="B131" s="101" t="s">
        <v>348</v>
      </c>
      <c r="C131" s="102">
        <v>3</v>
      </c>
      <c r="D131" s="107"/>
      <c r="E131" s="89"/>
      <c r="F131" s="101"/>
      <c r="G131" s="102"/>
    </row>
    <row r="132" spans="1:7" x14ac:dyDescent="0.25">
      <c r="A132" s="89" t="s">
        <v>166</v>
      </c>
      <c r="B132" s="101" t="s">
        <v>349</v>
      </c>
      <c r="C132" s="102">
        <v>30</v>
      </c>
      <c r="E132" s="89"/>
      <c r="F132" s="101"/>
      <c r="G132" s="102"/>
    </row>
    <row r="133" spans="1:7" x14ac:dyDescent="0.25">
      <c r="A133" s="89" t="s">
        <v>166</v>
      </c>
      <c r="B133" s="101" t="s">
        <v>350</v>
      </c>
      <c r="C133" s="102">
        <v>0</v>
      </c>
      <c r="E133" s="89"/>
      <c r="F133" s="101"/>
      <c r="G133" s="102"/>
    </row>
    <row r="134" spans="1:7" x14ac:dyDescent="0.25">
      <c r="A134" s="89" t="s">
        <v>166</v>
      </c>
      <c r="B134" s="101" t="s">
        <v>351</v>
      </c>
      <c r="C134" s="102">
        <v>30</v>
      </c>
      <c r="E134" s="89"/>
      <c r="F134" s="101"/>
      <c r="G134" s="102"/>
    </row>
    <row r="135" spans="1:7" x14ac:dyDescent="0.25">
      <c r="A135" s="89" t="s">
        <v>166</v>
      </c>
      <c r="B135" s="101" t="s">
        <v>352</v>
      </c>
      <c r="C135" s="102">
        <v>38</v>
      </c>
      <c r="E135" s="89"/>
      <c r="F135" s="101"/>
      <c r="G135" s="102"/>
    </row>
    <row r="136" spans="1:7" x14ac:dyDescent="0.25">
      <c r="A136" s="89" t="s">
        <v>166</v>
      </c>
      <c r="B136" s="101" t="s">
        <v>353</v>
      </c>
      <c r="C136" s="102">
        <v>86</v>
      </c>
      <c r="E136" s="89"/>
      <c r="F136" s="101"/>
      <c r="G136" s="102"/>
    </row>
    <row r="137" spans="1:7" x14ac:dyDescent="0.25">
      <c r="A137" s="89" t="s">
        <v>321</v>
      </c>
      <c r="B137" s="101" t="s">
        <v>354</v>
      </c>
      <c r="C137" s="102">
        <v>3</v>
      </c>
      <c r="E137" s="89"/>
      <c r="F137" s="101"/>
      <c r="G137" s="102"/>
    </row>
    <row r="138" spans="1:7" x14ac:dyDescent="0.25">
      <c r="A138" s="89" t="s">
        <v>321</v>
      </c>
      <c r="B138" s="101" t="s">
        <v>355</v>
      </c>
      <c r="C138" s="102">
        <v>12</v>
      </c>
      <c r="E138" s="89"/>
      <c r="F138" s="101"/>
      <c r="G138" s="102"/>
    </row>
    <row r="139" spans="1:7" x14ac:dyDescent="0.25">
      <c r="A139" s="108"/>
      <c r="B139" s="109"/>
      <c r="C139" s="110"/>
      <c r="E139" s="108"/>
      <c r="F139" s="109"/>
      <c r="G139" s="110"/>
    </row>
    <row r="144" spans="1:7" ht="18.75" x14ac:dyDescent="0.3">
      <c r="B144" s="105" t="s">
        <v>162</v>
      </c>
      <c r="C144" s="105"/>
      <c r="D144" s="105"/>
      <c r="E144" s="105"/>
      <c r="F144" s="105"/>
      <c r="G144" s="97"/>
    </row>
    <row r="145" spans="1:7" x14ac:dyDescent="0.25">
      <c r="A145" s="119" t="s">
        <v>356</v>
      </c>
      <c r="B145" s="119"/>
      <c r="C145" s="119"/>
      <c r="D145" s="98"/>
      <c r="E145" s="119" t="s">
        <v>356</v>
      </c>
      <c r="F145" s="119"/>
      <c r="G145" s="119"/>
    </row>
    <row r="146" spans="1:7" x14ac:dyDescent="0.25">
      <c r="A146" s="99" t="s">
        <v>164</v>
      </c>
      <c r="B146" s="100" t="s">
        <v>0</v>
      </c>
      <c r="C146" s="99" t="s">
        <v>165</v>
      </c>
      <c r="E146" s="99" t="s">
        <v>164</v>
      </c>
      <c r="F146" s="100" t="s">
        <v>0</v>
      </c>
      <c r="G146" s="99" t="s">
        <v>165</v>
      </c>
    </row>
    <row r="147" spans="1:7" x14ac:dyDescent="0.25">
      <c r="A147" s="89" t="s">
        <v>216</v>
      </c>
      <c r="B147" s="101" t="s">
        <v>357</v>
      </c>
      <c r="C147" s="103">
        <v>0</v>
      </c>
      <c r="E147" s="89"/>
      <c r="F147" s="101"/>
      <c r="G147" s="102"/>
    </row>
    <row r="148" spans="1:7" x14ac:dyDescent="0.25">
      <c r="A148" s="89" t="s">
        <v>216</v>
      </c>
      <c r="B148" s="101" t="s">
        <v>358</v>
      </c>
      <c r="C148" s="103">
        <v>0</v>
      </c>
      <c r="E148" s="89"/>
      <c r="F148" s="101"/>
      <c r="G148" s="102"/>
    </row>
    <row r="149" spans="1:7" x14ac:dyDescent="0.25">
      <c r="A149" s="89" t="s">
        <v>166</v>
      </c>
      <c r="B149" s="101" t="s">
        <v>359</v>
      </c>
      <c r="C149" s="102">
        <v>2</v>
      </c>
      <c r="E149" s="89"/>
      <c r="F149" s="101"/>
      <c r="G149" s="102"/>
    </row>
    <row r="150" spans="1:7" x14ac:dyDescent="0.25">
      <c r="A150" s="89" t="s">
        <v>166</v>
      </c>
      <c r="B150" s="101" t="s">
        <v>360</v>
      </c>
      <c r="C150" s="102">
        <v>3</v>
      </c>
      <c r="E150" s="89"/>
      <c r="F150" s="101"/>
      <c r="G150" s="102"/>
    </row>
    <row r="151" spans="1:7" x14ac:dyDescent="0.25">
      <c r="A151" s="89" t="s">
        <v>166</v>
      </c>
      <c r="B151" s="101" t="s">
        <v>361</v>
      </c>
      <c r="C151" s="102">
        <v>88</v>
      </c>
      <c r="E151" s="89"/>
      <c r="F151" s="101"/>
      <c r="G151" s="102"/>
    </row>
    <row r="152" spans="1:7" x14ac:dyDescent="0.25">
      <c r="A152" s="89" t="s">
        <v>321</v>
      </c>
      <c r="B152" s="101" t="s">
        <v>362</v>
      </c>
      <c r="C152" s="102">
        <v>0</v>
      </c>
      <c r="E152" s="89"/>
      <c r="F152" s="101"/>
      <c r="G152" s="102"/>
    </row>
    <row r="153" spans="1:7" x14ac:dyDescent="0.25">
      <c r="A153" s="89" t="s">
        <v>321</v>
      </c>
      <c r="B153" s="101" t="s">
        <v>363</v>
      </c>
      <c r="C153" s="102">
        <v>0</v>
      </c>
      <c r="E153" s="89"/>
      <c r="F153" s="101"/>
      <c r="G153" s="102"/>
    </row>
    <row r="154" spans="1:7" x14ac:dyDescent="0.25">
      <c r="A154" s="89" t="s">
        <v>321</v>
      </c>
      <c r="B154" s="101" t="s">
        <v>364</v>
      </c>
      <c r="C154" s="102">
        <v>0</v>
      </c>
      <c r="E154" s="89"/>
      <c r="F154" s="101"/>
      <c r="G154" s="106"/>
    </row>
    <row r="155" spans="1:7" x14ac:dyDescent="0.25">
      <c r="A155" s="89" t="s">
        <v>166</v>
      </c>
      <c r="B155" s="101" t="s">
        <v>365</v>
      </c>
      <c r="C155" s="102">
        <v>1</v>
      </c>
      <c r="E155" s="89"/>
      <c r="F155" s="101"/>
      <c r="G155" s="102"/>
    </row>
    <row r="156" spans="1:7" x14ac:dyDescent="0.25">
      <c r="A156" s="89"/>
      <c r="B156" s="101"/>
      <c r="C156" s="102"/>
      <c r="E156" s="89"/>
      <c r="F156" s="101"/>
      <c r="G156" s="106"/>
    </row>
    <row r="157" spans="1:7" x14ac:dyDescent="0.25">
      <c r="A157" s="89"/>
      <c r="B157" s="101"/>
      <c r="C157" s="102"/>
      <c r="E157" s="89"/>
      <c r="F157" s="101"/>
      <c r="G157" s="102"/>
    </row>
    <row r="158" spans="1:7" x14ac:dyDescent="0.25">
      <c r="A158" s="89"/>
      <c r="B158" s="101"/>
      <c r="C158" s="102"/>
      <c r="E158" s="89"/>
      <c r="F158" s="101"/>
      <c r="G158" s="102"/>
    </row>
    <row r="159" spans="1:7" x14ac:dyDescent="0.25">
      <c r="A159" s="89"/>
      <c r="B159" s="101"/>
      <c r="C159" s="102"/>
      <c r="E159" s="89"/>
      <c r="F159" s="101"/>
      <c r="G159" s="102"/>
    </row>
    <row r="160" spans="1:7" x14ac:dyDescent="0.25">
      <c r="A160" s="89"/>
      <c r="B160" s="101"/>
      <c r="C160" s="102"/>
      <c r="E160" s="89"/>
      <c r="F160" s="101"/>
      <c r="G160" s="102"/>
    </row>
    <row r="161" spans="1:7" x14ac:dyDescent="0.25">
      <c r="A161" s="89"/>
      <c r="B161" s="101"/>
      <c r="C161" s="102"/>
      <c r="E161" s="89"/>
      <c r="F161" s="101"/>
      <c r="G161" s="102"/>
    </row>
    <row r="162" spans="1:7" x14ac:dyDescent="0.25">
      <c r="A162" s="89"/>
      <c r="B162" s="101"/>
      <c r="C162" s="102"/>
      <c r="E162" s="89"/>
      <c r="F162" s="101"/>
      <c r="G162" s="102"/>
    </row>
    <row r="163" spans="1:7" x14ac:dyDescent="0.25">
      <c r="A163" s="89"/>
      <c r="B163" s="101"/>
      <c r="C163" s="102"/>
      <c r="E163" s="89"/>
      <c r="F163" s="101"/>
      <c r="G163" s="102"/>
    </row>
    <row r="164" spans="1:7" x14ac:dyDescent="0.25">
      <c r="A164" s="89"/>
      <c r="B164" s="101"/>
      <c r="C164" s="102"/>
      <c r="E164" s="89"/>
      <c r="F164" s="101"/>
      <c r="G164" s="102"/>
    </row>
    <row r="165" spans="1:7" x14ac:dyDescent="0.25">
      <c r="A165" s="89"/>
      <c r="B165" s="101"/>
      <c r="C165" s="102"/>
      <c r="E165" s="89"/>
      <c r="F165" s="101"/>
      <c r="G165" s="102"/>
    </row>
    <row r="166" spans="1:7" x14ac:dyDescent="0.25">
      <c r="A166" s="89"/>
      <c r="B166" s="101"/>
      <c r="C166" s="102"/>
      <c r="E166" s="89"/>
      <c r="F166" s="101"/>
      <c r="G166" s="102"/>
    </row>
    <row r="167" spans="1:7" x14ac:dyDescent="0.25">
      <c r="A167" s="89"/>
      <c r="B167" s="101"/>
      <c r="C167" s="102"/>
      <c r="E167" s="89"/>
      <c r="F167" s="101"/>
      <c r="G167" s="103"/>
    </row>
    <row r="168" spans="1:7" x14ac:dyDescent="0.25">
      <c r="A168" s="89"/>
      <c r="B168" s="101"/>
      <c r="C168" s="102"/>
      <c r="E168" s="89"/>
      <c r="F168" s="101"/>
      <c r="G168" s="102"/>
    </row>
    <row r="169" spans="1:7" x14ac:dyDescent="0.25">
      <c r="A169" s="89"/>
      <c r="B169" s="101"/>
      <c r="C169" s="102"/>
      <c r="E169" s="89"/>
      <c r="F169" s="101"/>
      <c r="G169" s="102"/>
    </row>
    <row r="170" spans="1:7" x14ac:dyDescent="0.25">
      <c r="A170" s="89"/>
      <c r="B170" s="101"/>
      <c r="C170" s="102"/>
      <c r="E170" s="89"/>
      <c r="F170" s="101"/>
      <c r="G170" s="102"/>
    </row>
    <row r="171" spans="1:7" x14ac:dyDescent="0.25">
      <c r="A171" s="89"/>
      <c r="B171" s="101"/>
      <c r="C171" s="102"/>
      <c r="E171" s="89"/>
      <c r="F171" s="101"/>
      <c r="G171" s="102"/>
    </row>
    <row r="172" spans="1:7" x14ac:dyDescent="0.25">
      <c r="A172" s="89"/>
      <c r="B172" s="101"/>
      <c r="C172" s="102"/>
      <c r="E172" s="89"/>
      <c r="F172" s="101"/>
      <c r="G172" s="102"/>
    </row>
    <row r="173" spans="1:7" x14ac:dyDescent="0.25">
      <c r="A173" s="89"/>
      <c r="B173" s="101"/>
      <c r="C173" s="102"/>
      <c r="E173" s="89"/>
      <c r="F173" s="101"/>
      <c r="G173" s="102"/>
    </row>
    <row r="174" spans="1:7" x14ac:dyDescent="0.25">
      <c r="A174" s="89"/>
      <c r="B174" s="101"/>
      <c r="C174" s="102"/>
      <c r="E174" s="89"/>
      <c r="F174" s="101"/>
      <c r="G174" s="102"/>
    </row>
    <row r="175" spans="1:7" x14ac:dyDescent="0.25">
      <c r="A175" s="89"/>
      <c r="B175" s="101"/>
      <c r="C175" s="102"/>
      <c r="E175" s="89"/>
      <c r="F175" s="101"/>
      <c r="G175" s="102"/>
    </row>
    <row r="176" spans="1:7" x14ac:dyDescent="0.25">
      <c r="A176" s="89"/>
      <c r="B176" s="101"/>
      <c r="C176" s="102"/>
      <c r="E176" s="89"/>
      <c r="F176" s="101"/>
      <c r="G176" s="102"/>
    </row>
    <row r="177" spans="1:7" x14ac:dyDescent="0.25">
      <c r="A177" s="89"/>
      <c r="B177" s="101"/>
      <c r="C177" s="102"/>
      <c r="D177" s="107"/>
      <c r="E177" s="89"/>
      <c r="F177" s="101"/>
      <c r="G177" s="102"/>
    </row>
    <row r="178" spans="1:7" x14ac:dyDescent="0.25">
      <c r="A178" s="89"/>
      <c r="B178" s="101"/>
      <c r="C178" s="106"/>
      <c r="E178" s="89"/>
      <c r="F178" s="101"/>
      <c r="G178" s="102"/>
    </row>
    <row r="179" spans="1:7" x14ac:dyDescent="0.25">
      <c r="A179" s="89"/>
      <c r="B179" s="101"/>
      <c r="C179" s="106"/>
      <c r="E179" s="89"/>
      <c r="F179" s="101"/>
      <c r="G179" s="102"/>
    </row>
    <row r="180" spans="1:7" x14ac:dyDescent="0.25">
      <c r="A180" s="89"/>
      <c r="B180" s="101"/>
      <c r="C180" s="102"/>
      <c r="E180" s="89"/>
      <c r="F180" s="101"/>
      <c r="G180" s="102"/>
    </row>
    <row r="181" spans="1:7" x14ac:dyDescent="0.25">
      <c r="A181" s="89"/>
      <c r="B181" s="101"/>
      <c r="C181" s="102"/>
      <c r="E181" s="89"/>
      <c r="F181" s="101"/>
      <c r="G181" s="102"/>
    </row>
    <row r="182" spans="1:7" x14ac:dyDescent="0.25">
      <c r="A182" s="89"/>
      <c r="B182" s="101"/>
      <c r="C182" s="102"/>
      <c r="E182" s="89"/>
      <c r="F182" s="101"/>
      <c r="G182" s="102"/>
    </row>
    <row r="183" spans="1:7" x14ac:dyDescent="0.25">
      <c r="A183" s="89"/>
      <c r="B183" s="101"/>
      <c r="C183" s="102"/>
      <c r="E183" s="89"/>
      <c r="F183" s="101"/>
      <c r="G183" s="102"/>
    </row>
    <row r="184" spans="1:7" x14ac:dyDescent="0.25">
      <c r="A184" s="89"/>
      <c r="B184" s="101"/>
      <c r="C184" s="102"/>
      <c r="E184" s="89"/>
      <c r="F184" s="101"/>
      <c r="G184" s="102"/>
    </row>
  </sheetData>
  <mergeCells count="9">
    <mergeCell ref="A145:C145"/>
    <mergeCell ref="E145:G145"/>
    <mergeCell ref="B6:F6"/>
    <mergeCell ref="A7:C7"/>
    <mergeCell ref="E7:G7"/>
    <mergeCell ref="A53:C53"/>
    <mergeCell ref="E53:G53"/>
    <mergeCell ref="A99:C99"/>
    <mergeCell ref="E99:G99"/>
  </mergeCells>
  <pageMargins left="0.25" right="0.25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Hoja3</vt:lpstr>
      <vt:lpstr>Hoja2</vt:lpstr>
      <vt:lpstr>Hoja4</vt:lpstr>
      <vt:lpstr>Hoja5</vt:lpstr>
      <vt:lpstr>Hoja6</vt:lpstr>
      <vt:lpstr>Hoja7</vt:lpstr>
      <vt:lpstr>Hoja8</vt:lpstr>
      <vt:lpstr>Hoja9</vt:lpstr>
      <vt:lpstr>TINTAS</vt:lpstr>
      <vt:lpstr>QUÍMICOS</vt:lpstr>
      <vt:lpstr>COSUMIBLES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Almacen</dc:creator>
  <cp:lastModifiedBy>Almacen</cp:lastModifiedBy>
  <cp:lastPrinted>2026-06-16T19:49:22Z</cp:lastPrinted>
  <dcterms:created xsi:type="dcterms:W3CDTF">2026-06-16T19:30:56Z</dcterms:created>
  <dcterms:modified xsi:type="dcterms:W3CDTF">2026-06-16T19:51:55Z</dcterms:modified>
</cp:coreProperties>
</file>